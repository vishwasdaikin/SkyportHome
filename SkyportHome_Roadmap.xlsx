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vishwas/Documents/DevelopmentProjects/Skyport-Web/"/>
    </mc:Choice>
  </mc:AlternateContent>
  <xr:revisionPtr revIDLastSave="0" documentId="13_ncr:1_{D50A3653-BC2C-7A4B-8712-803DD5059AA7}" xr6:coauthVersionLast="47" xr6:coauthVersionMax="47" xr10:uidLastSave="{00000000-0000-0000-0000-000000000000}"/>
  <bookViews>
    <workbookView xWindow="16800" yWindow="500" windowWidth="30240" windowHeight="18880" firstSheet="1" activeTab="1" xr2:uid="{00000000-000D-0000-FFFF-FFFF00000000}"/>
  </bookViews>
  <sheets>
    <sheet name="Summary" sheetId="2" r:id="rId1"/>
    <sheet name="SkyportHome" sheetId="1" r:id="rId2"/>
    <sheet name="Definition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1" l="1"/>
  <c r="D104" i="1" l="1"/>
  <c r="D103" i="1"/>
  <c r="E103" i="1" s="1"/>
  <c r="G103" i="1" s="1"/>
  <c r="H103" i="1" s="1"/>
  <c r="D102" i="1"/>
  <c r="E102" i="1" s="1"/>
  <c r="G102" i="1" s="1"/>
  <c r="H102" i="1" s="1"/>
  <c r="D101" i="1"/>
  <c r="E101" i="1" s="1"/>
  <c r="G101" i="1" s="1"/>
  <c r="H101" i="1" s="1"/>
  <c r="D100" i="1"/>
  <c r="E100" i="1" s="1"/>
  <c r="G100" i="1" s="1"/>
  <c r="H100" i="1" s="1"/>
  <c r="D99" i="1"/>
  <c r="E99" i="1" s="1"/>
  <c r="C112" i="1"/>
  <c r="D112" i="1" s="1"/>
  <c r="C111" i="1"/>
  <c r="D111" i="1" s="1"/>
  <c r="C110" i="1"/>
  <c r="D110" i="1" s="1"/>
  <c r="C109" i="1"/>
  <c r="D109" i="1" s="1"/>
  <c r="C108" i="1"/>
  <c r="D108" i="1" s="1"/>
  <c r="C107" i="1"/>
  <c r="C115" i="1"/>
  <c r="C116" i="1"/>
  <c r="E96" i="1"/>
  <c r="G99" i="1" l="1"/>
  <c r="H99" i="1" s="1"/>
  <c r="B12" i="2"/>
  <c r="B17" i="2"/>
  <c r="B3" i="2"/>
  <c r="B2" i="2"/>
  <c r="B13" i="2"/>
  <c r="E104" i="1"/>
  <c r="G104" i="1" s="1"/>
  <c r="H104" i="1" s="1"/>
  <c r="B14" i="2"/>
  <c r="B15" i="2"/>
  <c r="D115" i="1"/>
  <c r="B16" i="2"/>
  <c r="D116" i="1"/>
  <c r="D107" i="1"/>
  <c r="B5" i="2" s="1"/>
  <c r="B6" i="2"/>
  <c r="B7" i="2"/>
  <c r="B9" i="2"/>
  <c r="B8" i="2"/>
  <c r="B10" i="2"/>
</calcChain>
</file>

<file path=xl/sharedStrings.xml><?xml version="1.0" encoding="utf-8"?>
<sst xmlns="http://schemas.openxmlformats.org/spreadsheetml/2006/main" count="648" uniqueCount="155">
  <si>
    <t>Monetization Model</t>
  </si>
  <si>
    <t>Basic (Free)</t>
  </si>
  <si>
    <t>Paid</t>
  </si>
  <si>
    <t>Themes</t>
  </si>
  <si>
    <t>Comfort &amp; Health</t>
  </si>
  <si>
    <t>Energy &amp; Sustainability</t>
  </si>
  <si>
    <t>Ease of Use &amp; Accessibility</t>
  </si>
  <si>
    <t>Trust, Security &amp; Reliability</t>
  </si>
  <si>
    <t>Intelligence &amp; Automation</t>
  </si>
  <si>
    <t>Engagement &amp; Personalization</t>
  </si>
  <si>
    <t>Initiative Type</t>
  </si>
  <si>
    <t>New Product Integration</t>
  </si>
  <si>
    <t>New Technical Integration</t>
  </si>
  <si>
    <t>New Interoperability Capability</t>
  </si>
  <si>
    <t>New Feature Introduction</t>
  </si>
  <si>
    <t>New Function Introduction</t>
  </si>
  <si>
    <t>Sustaining</t>
  </si>
  <si>
    <t>Feature Group</t>
  </si>
  <si>
    <t>Feature / Function</t>
  </si>
  <si>
    <t>End User Category</t>
  </si>
  <si>
    <t>Priority</t>
  </si>
  <si>
    <t>Development</t>
  </si>
  <si>
    <t>Admin Controls</t>
  </si>
  <si>
    <t>Account user/email transfer – updates propagate to cloud and thermostat</t>
  </si>
  <si>
    <t>UI + Data</t>
  </si>
  <si>
    <t>Multi-user role management (Admin vs Guest)</t>
  </si>
  <si>
    <t>Activation code via email with SMS OTP option</t>
  </si>
  <si>
    <t>Face ID login support</t>
  </si>
  <si>
    <t>UI only</t>
  </si>
  <si>
    <t>Fingerprint authentication</t>
  </si>
  <si>
    <t>Password update prompts for web and native app when biometric auth not enabled</t>
  </si>
  <si>
    <t>Thermostat brightness control</t>
  </si>
  <si>
    <t>Performance Analytics</t>
  </si>
  <si>
    <t>Embed analytics into all features to measure delivered value</t>
  </si>
  <si>
    <t>Feature impact analytics combined with qualitative feedback</t>
  </si>
  <si>
    <t>Monitor feature adoption and engagement (usage frequency, conversion rates)</t>
  </si>
  <si>
    <t>Data‑driven roadmap iteration based on analytics</t>
  </si>
  <si>
    <t>User Experience</t>
  </si>
  <si>
    <t>In-app contextual guidance (tooltips, walkthroughs)</t>
  </si>
  <si>
    <t>Navigation ease (buttons, fonts, usability, speed, back buttons, skins)</t>
  </si>
  <si>
    <t>Hide unavailable features</t>
  </si>
  <si>
    <t>Iconography (fan running, away mode, fuel source, system mode)</t>
  </si>
  <si>
    <t>Notify and explain abnormal activity to users</t>
  </si>
  <si>
    <t>Error codes explained in layman’s terms</t>
  </si>
  <si>
    <t>AI chat capability: Natural language, contextual navigation</t>
  </si>
  <si>
    <t>UI + Data + Algorithm</t>
  </si>
  <si>
    <t>AI chat capability: Proactive suggestions</t>
  </si>
  <si>
    <t>Ratings pop‑up every 3 months with “Do not show again” option</t>
  </si>
  <si>
    <t>Ability for users to submit feature requests intuitively</t>
  </si>
  <si>
    <t>Animated blue butterfly interaction</t>
  </si>
  <si>
    <t>Visual avatar for AI assistant</t>
  </si>
  <si>
    <t>Gamified experience (earn butterflies, unlock rewards)</t>
  </si>
  <si>
    <t>Seasonal UI themes</t>
  </si>
  <si>
    <t>Air quality feedback indicator</t>
  </si>
  <si>
    <t>Energy‑efficient mode indicator (Nest‑like green leaf)</t>
  </si>
  <si>
    <t xml:space="preserve">Support and Maintenance </t>
  </si>
  <si>
    <t>Browsers (for web app when launched): Chrome, Firefox, Safari, Edge</t>
  </si>
  <si>
    <t>Mobile OS Version: iOS, Android</t>
  </si>
  <si>
    <t>Devices: iOS, Android</t>
  </si>
  <si>
    <t>Remote Control</t>
  </si>
  <si>
    <t>Lock and unlock thermostat</t>
  </si>
  <si>
    <t>Remote system performance monitoring</t>
  </si>
  <si>
    <t>Adjust temperature remotely</t>
  </si>
  <si>
    <t>Schedule setup and modification (daily, seasonal, vacation)</t>
  </si>
  <si>
    <t>Allow scheduling in Cool‑only or Heat‑only mode</t>
  </si>
  <si>
    <t>Resume / override schedule behavior</t>
  </si>
  <si>
    <t>Fan speed control for mini‑splits (auto for unitary systems)</t>
  </si>
  <si>
    <t>Fan circulation scheduling (hours per day)</t>
  </si>
  <si>
    <t>Increase scheduling limit beyond 4/day</t>
  </si>
  <si>
    <t>Smart Home &amp; Device Integration</t>
  </si>
  <si>
    <t>Alexa integration</t>
  </si>
  <si>
    <t>Google Assistant integration</t>
  </si>
  <si>
    <t>Apple HomeKit integration</t>
  </si>
  <si>
    <t>Celsius temperature support (Canada)</t>
  </si>
  <si>
    <t>Smartwatch support</t>
  </si>
  <si>
    <t>Tablet support</t>
  </si>
  <si>
    <t>Desktop web access</t>
  </si>
  <si>
    <t>Branded voice assistant: Voice command inpuit &amp; Spoken responses</t>
  </si>
  <si>
    <t>Branded voice assistant: Proactive voice driven intelligence &amp; actions</t>
  </si>
  <si>
    <t>Security Sync – HVAC off when doors/windows open or system armed</t>
  </si>
  <si>
    <t>Sleep Sync – integrate sleep trackers for optimal temperature</t>
  </si>
  <si>
    <t>Support RAQA product line</t>
  </si>
  <si>
    <t>IAQ product integration</t>
  </si>
  <si>
    <t>Home Energy Reports</t>
  </si>
  <si>
    <r>
      <t>Temperature &amp; humidity trend views (</t>
    </r>
    <r>
      <rPr>
        <sz val="11"/>
        <color rgb="FF0070C0"/>
        <rFont val="Calibri (Body)"/>
      </rPr>
      <t>real‑time</t>
    </r>
    <r>
      <rPr>
        <sz val="11"/>
        <color theme="1"/>
        <rFont val="Calibri"/>
        <family val="2"/>
        <scheme val="minor"/>
      </rPr>
      <t>, daily, weekly, monthly)</t>
    </r>
  </si>
  <si>
    <t>System mode visibility (current &amp; historical):
a) Equipment usage tracking (heat pump, furnace, aux heat)
b) Outdoor temperature &amp; humidity
c) Indoor temperature &amp; humidity
d) System setting (cool / heat)
e) Fan status (on/off)</t>
  </si>
  <si>
    <t>Filter change alerts (time‑based)</t>
  </si>
  <si>
    <t>Filter change alerts (runtime‑based)</t>
  </si>
  <si>
    <t>Service and tune‑up recommendations</t>
  </si>
  <si>
    <t>Historical energy comparisons (MoM, YoY – gas &amp; electric)</t>
  </si>
  <si>
    <t>Deep analysis in enegy comparisons (i.e. weather impact)</t>
  </si>
  <si>
    <t>Runtime analysis (inverter vs non‑inverter simulation)</t>
  </si>
  <si>
    <t>Peer home energy comparison</t>
  </si>
  <si>
    <t>Energy savings vs. non‑heat‑pump systems</t>
  </si>
  <si>
    <t>Actionable savings recommendations (cost &amp; carbon):
a) Optimal thermostat settings based on weather, pricing, rate plans
b) Optimal dual‑fuel switchover temperature</t>
  </si>
  <si>
    <t>Solar and battery integration insights</t>
  </si>
  <si>
    <t>Low‑cost efficiency measures (LEDs, etc.)</t>
  </si>
  <si>
    <t>Adaptive learning</t>
  </si>
  <si>
    <t>Seasonal adjustments for peak energy periods</t>
  </si>
  <si>
    <t>Time‑of‑Use optimization</t>
  </si>
  <si>
    <t>Predictive preconditioning using weather and calendar</t>
  </si>
  <si>
    <t>Smart routines based on behavior</t>
  </si>
  <si>
    <t>Automatic humidification adjustment</t>
  </si>
  <si>
    <t>Away &amp; Geofencing</t>
  </si>
  <si>
    <t>Automatic energy‑saving mode when away</t>
  </si>
  <si>
    <t>Multi‑user presence support</t>
  </si>
  <si>
    <t>Handle connectivity limitations (Wi‑Fi / cellular)</t>
  </si>
  <si>
    <t>OS background app constraints (iOS / Android)</t>
  </si>
  <si>
    <t>Room &amp; Zone Intelligence</t>
  </si>
  <si>
    <t>Room RHT sensors: Average temperature across RHTs</t>
  </si>
  <si>
    <t>Room RHT sensors: Per‑room temperature auto control via RHT</t>
  </si>
  <si>
    <t>Zoned comfort control: Dynamic damper control</t>
  </si>
  <si>
    <t>Pet Mode temperature auto control</t>
  </si>
  <si>
    <t>Zoned comfort auto control: Occupancy‑based zoning</t>
  </si>
  <si>
    <t>Demand Response</t>
  </si>
  <si>
    <t>Utility demand response participation during peak events</t>
  </si>
  <si>
    <t>Smart Maintenance &amp; Diagnostics</t>
  </si>
  <si>
    <t>Predictive failure detection and service suggestions</t>
  </si>
  <si>
    <t>Self‑diagnosis (usage and system health)</t>
  </si>
  <si>
    <t>Automated issue reporting to homeowner and dealer</t>
  </si>
  <si>
    <r>
      <t>Filter health monitoring (includes f</t>
    </r>
    <r>
      <rPr>
        <sz val="11"/>
        <color theme="1"/>
        <rFont val="Calibri (Body)"/>
      </rPr>
      <t>ilter replacement plan)</t>
    </r>
  </si>
  <si>
    <t>Heating / cooling anomaly detection</t>
  </si>
  <si>
    <t>Mood &amp; Activity‑Based Control</t>
  </si>
  <si>
    <t>Mood detection via wearables or voice tone</t>
  </si>
  <si>
    <t>Activity‑based settings (party, workout, etc.)</t>
  </si>
  <si>
    <t>Solar &amp; System Protection</t>
  </si>
  <si>
    <t>Solar Sync – HVAC optimization based on solar production</t>
  </si>
  <si>
    <t>Product &amp; Warranty</t>
  </si>
  <si>
    <t>Automatic warranty registration</t>
  </si>
  <si>
    <t>Access to purchased products</t>
  </si>
  <si>
    <t>Access to warranty certificates</t>
  </si>
  <si>
    <t>Customization &amp; Accessibility</t>
  </si>
  <si>
    <t>Custom skins and themes</t>
  </si>
  <si>
    <t>Multi‑language app support</t>
  </si>
  <si>
    <t>Accessibility mode for visually impaired and elderly users</t>
  </si>
  <si>
    <t>Widgets - Desktop, Smart-TV, Smart-Fridge etc?</t>
  </si>
  <si>
    <t>Owner</t>
  </si>
  <si>
    <t>Count</t>
  </si>
  <si>
    <t>Count %</t>
  </si>
  <si>
    <t>Engineering</t>
  </si>
  <si>
    <t xml:space="preserve">Engineering, Digital Apps &amp; Services </t>
  </si>
  <si>
    <t xml:space="preserve">Digital Apps &amp; Services </t>
  </si>
  <si>
    <t>Must‑have / Activation &amp; Trust driver (near‑term business impact)</t>
  </si>
  <si>
    <t>Differentiation &amp; Monetization enabler (mid‑term)</t>
  </si>
  <si>
    <t xml:space="preserve"> Future / Advanced intelligence (longer‑term leverage)</t>
  </si>
  <si>
    <t>Uses existing system state and values for display and interaction only. No backend data aggregation, rules, thresholds, interpretation, or decisioning.</t>
  </si>
  <si>
    <t>Uses existing datasets with backend handling such as aggregation, correlation, rules, or thresholds. May also include new datasets sourced via external APIs, but no prediction, learning, or optimization logic.</t>
  </si>
  <si>
    <t>Uses data plus decisioning logic to recommend, automate, predict, or optimize outcomes.
Includes:
- Business‑logic algorithms (rules, heuristics, deterministic logic)
- R&amp;D‑level algorithms (product based optimizations, etc.)</t>
  </si>
  <si>
    <t>Focus Timeframe</t>
  </si>
  <si>
    <t>Q2 FY26</t>
  </si>
  <si>
    <t>Q1 FY26</t>
  </si>
  <si>
    <t>Q3 FY26</t>
  </si>
  <si>
    <t>FY27+</t>
  </si>
  <si>
    <t>FY26 (ongoing)</t>
  </si>
  <si>
    <t>Q4 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</si>
</sst>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70C0"/>
      <name val="Calibri (Body)"/>
    </font>
    <font>
      <sz val="11"/>
      <color theme="1"/>
      <name val="Calibri"/>
      <family val="2"/>
      <scheme val="minor"/>
    </font>
    <font>
      <sz val="11"/>
      <color theme="1"/>
      <name val="Calibri (Body)"/>
    </font>
    <font>
      <b/>
      <sz val="11"/>
      <color theme="1"/>
      <name val="Segoe UI"/>
    </font>
    <font>
      <b/>
      <sz val="11"/>
      <color rgb="FF000000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 readingOrder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 readingOrder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 readingOrder="1"/>
    </xf>
    <xf numFmtId="0" fontId="3" fillId="0" borderId="4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1" xfId="1" applyFont="1" applyBorder="1" applyAlignment="1">
      <alignment horizontal="center" wrapText="1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/>
    <xf numFmtId="0" fontId="0" fillId="0" borderId="1" xfId="0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Monetization</a:t>
            </a:r>
            <a:r>
              <a:rPr lang="en-US" sz="2400" b="1" baseline="0"/>
              <a:t> Model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814143212422946"/>
          <c:y val="0.20277293705506733"/>
          <c:w val="0.48371729257841894"/>
          <c:h val="0.6057777836261433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D2-C947-9BA9-0027035A46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D2-C947-9BA9-0027035A46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D2-C947-9BA9-0027035A46E2}"/>
              </c:ext>
            </c:extLst>
          </c:dPt>
          <c:cat>
            <c:strRef>
              <c:f>Summary!$A$1:$A$3</c:f>
              <c:strCache>
                <c:ptCount val="3"/>
                <c:pt idx="0">
                  <c:v>Monetization Model</c:v>
                </c:pt>
                <c:pt idx="1">
                  <c:v>Basic (Free)</c:v>
                </c:pt>
                <c:pt idx="2">
                  <c:v>Paid</c:v>
                </c:pt>
              </c:strCache>
            </c:strRef>
          </c:cat>
          <c:val>
            <c:numRef>
              <c:f>Summary!$B$1:$B$3</c:f>
              <c:numCache>
                <c:formatCode>0%</c:formatCode>
                <c:ptCount val="3"/>
                <c:pt idx="1">
                  <c:v>0.73404255319148937</c:v>
                </c:pt>
                <c:pt idx="2">
                  <c:v>0.25531914893617019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4-0545-B394-083F1C7C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37466251743898"/>
          <c:y val="7.8473007055039568E-2"/>
          <c:w val="0.69765648508428368"/>
          <c:h val="0.795683268161316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Summary!$B$4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Summary!$A$5:$A$10</c:f>
              <c:strCache>
                <c:ptCount val="6"/>
                <c:pt idx="0">
                  <c:v>Comfort &amp; Health</c:v>
                </c:pt>
                <c:pt idx="1">
                  <c:v>Energy &amp; Sustainability</c:v>
                </c:pt>
                <c:pt idx="2">
                  <c:v>Ease of Use &amp; Accessibility</c:v>
                </c:pt>
                <c:pt idx="3">
                  <c:v>Trust, Security &amp; Reliability</c:v>
                </c:pt>
                <c:pt idx="4">
                  <c:v>Intelligence &amp; Automation</c:v>
                </c:pt>
                <c:pt idx="5">
                  <c:v>Engagement &amp; Personalization</c:v>
                </c:pt>
              </c:strCache>
            </c:strRef>
          </c:cat>
          <c:val>
            <c:numRef>
              <c:f>Summary!$B$5:$B$10</c:f>
              <c:numCache>
                <c:formatCode>0%</c:formatCode>
                <c:ptCount val="6"/>
                <c:pt idx="0">
                  <c:v>0.15957446808510639</c:v>
                </c:pt>
                <c:pt idx="1">
                  <c:v>0.1702127659574468</c:v>
                </c:pt>
                <c:pt idx="2">
                  <c:v>0.15957446808510639</c:v>
                </c:pt>
                <c:pt idx="3">
                  <c:v>0.2978723404255319</c:v>
                </c:pt>
                <c:pt idx="4">
                  <c:v>0.13829787234042554</c:v>
                </c:pt>
                <c:pt idx="5">
                  <c:v>7.4468085106382975E-2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0-474A-A3DE-D19792FF7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5515920"/>
        <c:axId val="2115351664"/>
      </c:barChart>
      <c:catAx>
        <c:axId val="2115515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51664"/>
        <c:crosses val="autoZero"/>
        <c:auto val="1"/>
        <c:lblAlgn val="ctr"/>
        <c:lblOffset val="100"/>
        <c:noMultiLvlLbl val="0"/>
      </c:catAx>
      <c:valAx>
        <c:axId val="211535166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51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07252325921433E-2"/>
          <c:y val="9.9880445922420041E-2"/>
          <c:w val="0.93982293753858481"/>
          <c:h val="0.73488526063344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Summary!$B$11</c:f>
              <c:strCache>
                <c:ptCount val="1"/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Summary!$A$12:$A$17</c:f>
              <c:strCache>
                <c:ptCount val="6"/>
                <c:pt idx="0">
                  <c:v>New Product Integration</c:v>
                </c:pt>
                <c:pt idx="1">
                  <c:v>New Technical Integration</c:v>
                </c:pt>
                <c:pt idx="2">
                  <c:v>New Interoperability Capability</c:v>
                </c:pt>
                <c:pt idx="3">
                  <c:v>New Feature Introduction</c:v>
                </c:pt>
                <c:pt idx="4">
                  <c:v>New Function Introduction</c:v>
                </c:pt>
                <c:pt idx="5">
                  <c:v>Sustaining</c:v>
                </c:pt>
              </c:strCache>
            </c:strRef>
          </c:cat>
          <c:val>
            <c:numRef>
              <c:f>Summary!$B$12:$B$17</c:f>
              <c:numCache>
                <c:formatCode>0%</c:formatCode>
                <c:ptCount val="6"/>
                <c:pt idx="0">
                  <c:v>1.0638297872340425E-2</c:v>
                </c:pt>
                <c:pt idx="1">
                  <c:v>5.3191489361702128E-2</c:v>
                </c:pt>
                <c:pt idx="2">
                  <c:v>1.0638297872340425E-2</c:v>
                </c:pt>
                <c:pt idx="3">
                  <c:v>0.5957446808510638</c:v>
                </c:pt>
                <c:pt idx="4">
                  <c:v>0.27659574468085107</c:v>
                </c:pt>
                <c:pt idx="5">
                  <c:v>5.3191489361702128E-2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E-EB4F-B86C-F83D45E57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731632"/>
        <c:axId val="2094210976"/>
      </c:barChart>
      <c:catAx>
        <c:axId val="213873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10976"/>
        <c:crosses val="autoZero"/>
        <c:auto val="1"/>
        <c:lblAlgn val="ctr"/>
        <c:lblOffset val="100"/>
        <c:noMultiLvlLbl val="0"/>
      </c:catAx>
      <c:valAx>
        <c:axId val="20942109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3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26459</xdr:colOff>
      <xdr:row>0</xdr:row>
      <xdr:rowOff>51859</xdr:rowOff>
    </xdr:from>
    <xdr:to>
      <xdr:col>24</xdr:col>
      <xdr:colOff>116417</xdr:colOff>
      <xdr:row>26</xdr:row>
      <xdr:rowOff>10583</xdr:rowOff>
    </xdr:to>
    <xdr:graphicFrame macro="">
      <xdr:nvGraphicFramePr>
        <xdr:cNvPr id="108" name="Chart 3">
          <a:extLst>
            <a:ext uri="{FF2B5EF4-FFF2-40B4-BE49-F238E27FC236}">
              <a16:creationId xmlns:a16="http://schemas.microsoft.com/office/drawing/2014/main" id="{64224884-E12E-9960-28E3-CE6338E3A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756709</xdr:colOff>
      <xdr:row>26</xdr:row>
      <xdr:rowOff>83607</xdr:rowOff>
    </xdr:from>
    <xdr:to>
      <xdr:col>16</xdr:col>
      <xdr:colOff>751417</xdr:colOff>
      <xdr:row>57</xdr:row>
      <xdr:rowOff>179916</xdr:rowOff>
    </xdr:to>
    <xdr:graphicFrame macro="">
      <xdr:nvGraphicFramePr>
        <xdr:cNvPr id="112" name="Chart 4">
          <a:extLst>
            <a:ext uri="{FF2B5EF4-FFF2-40B4-BE49-F238E27FC236}">
              <a16:creationId xmlns:a16="http://schemas.microsoft.com/office/drawing/2014/main" id="{219CB440-221A-BDA7-0229-892700901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756708</xdr:colOff>
      <xdr:row>0</xdr:row>
      <xdr:rowOff>41276</xdr:rowOff>
    </xdr:from>
    <xdr:to>
      <xdr:col>16</xdr:col>
      <xdr:colOff>740833</xdr:colOff>
      <xdr:row>26</xdr:row>
      <xdr:rowOff>31750</xdr:rowOff>
    </xdr:to>
    <xdr:graphicFrame macro="">
      <xdr:nvGraphicFramePr>
        <xdr:cNvPr id="113" name="Chart 5">
          <a:extLst>
            <a:ext uri="{FF2B5EF4-FFF2-40B4-BE49-F238E27FC236}">
              <a16:creationId xmlns:a16="http://schemas.microsoft.com/office/drawing/2014/main" id="{613860F1-B72A-5A7F-151E-0BB4A7655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21AB-740E-CC47-8EB7-85609C54D77A}">
  <dimension ref="A1:B17"/>
  <sheetViews>
    <sheetView workbookViewId="0">
      <selection activeCell="B44" sqref="B44"/>
    </sheetView>
  </sheetViews>
  <sheetFormatPr baseColWidth="10" defaultColWidth="10.83203125" defaultRowHeight="15" x14ac:dyDescent="0.2"/>
  <cols>
    <col min="1" max="1" width="28.5" customWidth="1"/>
    <col min="2" max="2" width="24.5" customWidth="1"/>
  </cols>
  <sheetData>
    <row r="1" spans="1:2" ht="16" customHeight="1" x14ac:dyDescent="0.2">
      <c r="A1" s="34" t="s">
        <v>0</v>
      </c>
      <c r="B1" s="35"/>
    </row>
    <row r="2" spans="1:2" x14ac:dyDescent="0.2">
      <c r="A2" s="11" t="s">
        <v>1</v>
      </c>
      <c r="B2" s="24">
        <f>SkyportHome!D115</f>
        <v>0.73404255319148937</v>
      </c>
    </row>
    <row r="3" spans="1:2" x14ac:dyDescent="0.2">
      <c r="A3" s="11" t="s">
        <v>2</v>
      </c>
      <c r="B3" s="24">
        <f>SkyportHome!D116</f>
        <v>0.25531914893617019</v>
      </c>
    </row>
    <row r="4" spans="1:2" ht="16" customHeight="1" x14ac:dyDescent="0.2">
      <c r="A4" s="34" t="s">
        <v>3</v>
      </c>
      <c r="B4" s="35"/>
    </row>
    <row r="5" spans="1:2" x14ac:dyDescent="0.2">
      <c r="A5" s="5" t="s">
        <v>4</v>
      </c>
      <c r="B5" s="26">
        <f>SkyportHome!D107</f>
        <v>0.15957446808510639</v>
      </c>
    </row>
    <row r="6" spans="1:2" x14ac:dyDescent="0.2">
      <c r="A6" s="5" t="s">
        <v>5</v>
      </c>
      <c r="B6" s="26">
        <f>SkyportHome!D108</f>
        <v>0.1702127659574468</v>
      </c>
    </row>
    <row r="7" spans="1:2" x14ac:dyDescent="0.2">
      <c r="A7" s="5" t="s">
        <v>6</v>
      </c>
      <c r="B7" s="26">
        <f>SkyportHome!D109</f>
        <v>0.15957446808510639</v>
      </c>
    </row>
    <row r="8" spans="1:2" x14ac:dyDescent="0.2">
      <c r="A8" s="5" t="s">
        <v>7</v>
      </c>
      <c r="B8" s="26">
        <f>SkyportHome!D110</f>
        <v>0.2978723404255319</v>
      </c>
    </row>
    <row r="9" spans="1:2" x14ac:dyDescent="0.2">
      <c r="A9" s="5" t="s">
        <v>8</v>
      </c>
      <c r="B9" s="26">
        <f>SkyportHome!D111</f>
        <v>0.13829787234042554</v>
      </c>
    </row>
    <row r="10" spans="1:2" x14ac:dyDescent="0.2">
      <c r="A10" s="5" t="s">
        <v>9</v>
      </c>
      <c r="B10" s="26">
        <f>SkyportHome!D112</f>
        <v>7.4468085106382975E-2</v>
      </c>
    </row>
    <row r="11" spans="1:2" ht="16" customHeight="1" x14ac:dyDescent="0.2">
      <c r="A11" s="34" t="s">
        <v>10</v>
      </c>
      <c r="B11" s="35"/>
    </row>
    <row r="12" spans="1:2" ht="16" x14ac:dyDescent="0.2">
      <c r="A12" s="4" t="s">
        <v>11</v>
      </c>
      <c r="B12" s="26">
        <f>SkyportHome!E99</f>
        <v>1.0638297872340425E-2</v>
      </c>
    </row>
    <row r="13" spans="1:2" ht="16" x14ac:dyDescent="0.2">
      <c r="A13" s="4" t="s">
        <v>12</v>
      </c>
      <c r="B13" s="26">
        <f>SkyportHome!E100</f>
        <v>5.3191489361702128E-2</v>
      </c>
    </row>
    <row r="14" spans="1:2" ht="16" x14ac:dyDescent="0.2">
      <c r="A14" s="4" t="s">
        <v>13</v>
      </c>
      <c r="B14" s="26">
        <f>SkyportHome!E101</f>
        <v>1.0638297872340425E-2</v>
      </c>
    </row>
    <row r="15" spans="1:2" ht="16" x14ac:dyDescent="0.2">
      <c r="A15" s="4" t="s">
        <v>14</v>
      </c>
      <c r="B15" s="26">
        <f>SkyportHome!E102</f>
        <v>0.5957446808510638</v>
      </c>
    </row>
    <row r="16" spans="1:2" ht="16" x14ac:dyDescent="0.2">
      <c r="A16" s="4" t="s">
        <v>15</v>
      </c>
      <c r="B16" s="26">
        <f>SkyportHome!E103</f>
        <v>0.27659574468085107</v>
      </c>
    </row>
    <row r="17" spans="1:2" ht="16" x14ac:dyDescent="0.2">
      <c r="A17" s="4" t="s">
        <v>16</v>
      </c>
      <c r="B17" s="26">
        <f>SkyportHome!E104</f>
        <v>5.3191489361702128E-2</v>
      </c>
    </row>
  </sheetData>
  <mergeCells count="3">
    <mergeCell ref="A1:B1"/>
    <mergeCell ref="A4:B4"/>
    <mergeCell ref="A11:B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abSelected="1" topLeftCell="C1" zoomScale="150" zoomScaleNormal="150" workbookViewId="0">
      <selection activeCell="I7" sqref="I7"/>
    </sheetView>
  </sheetViews>
  <sheetFormatPr baseColWidth="10" defaultColWidth="8.83203125" defaultRowHeight="15" x14ac:dyDescent="0.2"/>
  <cols>
    <col min="1" max="1" width="21.1640625" style="1" customWidth="1"/>
    <col min="2" max="2" width="60.5" style="1" customWidth="1"/>
    <col min="3" max="3" width="31.5" style="12" customWidth="1"/>
    <col min="4" max="4" width="27.83203125" style="1" customWidth="1"/>
    <col min="5" max="7" width="13.5" style="12" customWidth="1"/>
    <col min="8" max="8" width="19.5" style="12" customWidth="1"/>
    <col min="9" max="9" width="32.5" customWidth="1"/>
  </cols>
  <sheetData>
    <row r="1" spans="1:8" s="2" customFormat="1" ht="32" x14ac:dyDescent="0.2">
      <c r="A1" s="8" t="s">
        <v>17</v>
      </c>
      <c r="B1" s="8" t="s">
        <v>18</v>
      </c>
      <c r="C1" s="9" t="s">
        <v>10</v>
      </c>
      <c r="D1" s="9" t="s">
        <v>19</v>
      </c>
      <c r="E1" s="9" t="s">
        <v>0</v>
      </c>
      <c r="F1" s="9" t="s">
        <v>148</v>
      </c>
      <c r="G1" s="9" t="s">
        <v>20</v>
      </c>
      <c r="H1" s="9" t="s">
        <v>21</v>
      </c>
    </row>
    <row r="2" spans="1:8" ht="21.75" customHeight="1" x14ac:dyDescent="0.2">
      <c r="A2" s="36" t="s">
        <v>22</v>
      </c>
      <c r="B2" s="13" t="s">
        <v>23</v>
      </c>
      <c r="C2" s="7" t="s">
        <v>15</v>
      </c>
      <c r="D2" s="7" t="s">
        <v>7</v>
      </c>
      <c r="E2" s="11" t="s">
        <v>1</v>
      </c>
      <c r="F2" s="11" t="s">
        <v>149</v>
      </c>
      <c r="G2" s="11">
        <v>1</v>
      </c>
      <c r="H2" s="11" t="s">
        <v>24</v>
      </c>
    </row>
    <row r="3" spans="1:8" ht="16" x14ac:dyDescent="0.2">
      <c r="A3" s="36"/>
      <c r="B3" s="6" t="s">
        <v>25</v>
      </c>
      <c r="C3" s="7" t="s">
        <v>14</v>
      </c>
      <c r="D3" s="7" t="s">
        <v>7</v>
      </c>
      <c r="E3" s="11" t="s">
        <v>1</v>
      </c>
      <c r="F3" s="11" t="s">
        <v>154</v>
      </c>
      <c r="G3" s="11">
        <v>2</v>
      </c>
      <c r="H3" s="11" t="s">
        <v>24</v>
      </c>
    </row>
    <row r="4" spans="1:8" ht="16" x14ac:dyDescent="0.2">
      <c r="A4" s="36"/>
      <c r="B4" s="6" t="s">
        <v>26</v>
      </c>
      <c r="C4" s="7" t="s">
        <v>15</v>
      </c>
      <c r="D4" s="7" t="s">
        <v>7</v>
      </c>
      <c r="E4" s="11" t="s">
        <v>1</v>
      </c>
      <c r="F4" s="11" t="s">
        <v>154</v>
      </c>
      <c r="G4" s="11">
        <v>2</v>
      </c>
      <c r="H4" s="11" t="s">
        <v>24</v>
      </c>
    </row>
    <row r="5" spans="1:8" ht="16" x14ac:dyDescent="0.2">
      <c r="A5" s="36"/>
      <c r="B5" s="14" t="s">
        <v>27</v>
      </c>
      <c r="C5" s="7" t="s">
        <v>14</v>
      </c>
      <c r="D5" s="7" t="s">
        <v>7</v>
      </c>
      <c r="E5" s="11" t="s">
        <v>1</v>
      </c>
      <c r="F5" s="11" t="s">
        <v>150</v>
      </c>
      <c r="G5" s="11">
        <v>1</v>
      </c>
      <c r="H5" s="11" t="s">
        <v>28</v>
      </c>
    </row>
    <row r="6" spans="1:8" ht="16" x14ac:dyDescent="0.2">
      <c r="A6" s="36"/>
      <c r="B6" s="14" t="s">
        <v>29</v>
      </c>
      <c r="C6" s="7" t="s">
        <v>14</v>
      </c>
      <c r="D6" s="7" t="s">
        <v>7</v>
      </c>
      <c r="E6" s="11" t="s">
        <v>1</v>
      </c>
      <c r="F6" s="11" t="s">
        <v>150</v>
      </c>
      <c r="G6" s="11">
        <v>1</v>
      </c>
      <c r="H6" s="11" t="s">
        <v>28</v>
      </c>
    </row>
    <row r="7" spans="1:8" ht="32" x14ac:dyDescent="0.2">
      <c r="A7" s="36"/>
      <c r="B7" s="6" t="s">
        <v>30</v>
      </c>
      <c r="C7" s="7" t="s">
        <v>15</v>
      </c>
      <c r="D7" s="7" t="s">
        <v>7</v>
      </c>
      <c r="E7" s="11" t="s">
        <v>1</v>
      </c>
      <c r="F7" s="11" t="s">
        <v>149</v>
      </c>
      <c r="G7" s="11">
        <v>1</v>
      </c>
      <c r="H7" s="11" t="s">
        <v>28</v>
      </c>
    </row>
    <row r="8" spans="1:8" ht="16" x14ac:dyDescent="0.2">
      <c r="A8" s="36"/>
      <c r="B8" s="6" t="s">
        <v>31</v>
      </c>
      <c r="C8" s="10" t="s">
        <v>12</v>
      </c>
      <c r="D8" s="7" t="s">
        <v>7</v>
      </c>
      <c r="E8" s="11" t="s">
        <v>1</v>
      </c>
      <c r="F8" s="31" t="s">
        <v>151</v>
      </c>
      <c r="G8" s="11">
        <v>2</v>
      </c>
      <c r="H8" s="11" t="s">
        <v>24</v>
      </c>
    </row>
    <row r="9" spans="1:8" ht="16" x14ac:dyDescent="0.2">
      <c r="A9" s="36" t="s">
        <v>32</v>
      </c>
      <c r="B9" s="6" t="s">
        <v>33</v>
      </c>
      <c r="C9" s="7" t="s">
        <v>14</v>
      </c>
      <c r="D9" s="7" t="s">
        <v>8</v>
      </c>
      <c r="E9" s="11" t="s">
        <v>1</v>
      </c>
      <c r="F9" s="11" t="s">
        <v>149</v>
      </c>
      <c r="G9" s="11">
        <v>1</v>
      </c>
      <c r="H9" s="11" t="s">
        <v>24</v>
      </c>
    </row>
    <row r="10" spans="1:8" ht="16" x14ac:dyDescent="0.2">
      <c r="A10" s="36"/>
      <c r="B10" s="6" t="s">
        <v>34</v>
      </c>
      <c r="C10" s="7" t="s">
        <v>14</v>
      </c>
      <c r="D10" s="7" t="s">
        <v>8</v>
      </c>
      <c r="E10" s="11" t="s">
        <v>1</v>
      </c>
      <c r="F10" s="11" t="s">
        <v>149</v>
      </c>
      <c r="G10" s="11">
        <v>1</v>
      </c>
      <c r="H10" s="11" t="s">
        <v>24</v>
      </c>
    </row>
    <row r="11" spans="1:8" ht="29" customHeight="1" x14ac:dyDescent="0.2">
      <c r="A11" s="36"/>
      <c r="B11" s="6" t="s">
        <v>35</v>
      </c>
      <c r="C11" s="7" t="s">
        <v>14</v>
      </c>
      <c r="D11" s="7" t="s">
        <v>8</v>
      </c>
      <c r="E11" s="11" t="s">
        <v>1</v>
      </c>
      <c r="F11" s="11" t="s">
        <v>149</v>
      </c>
      <c r="G11" s="11">
        <v>1</v>
      </c>
      <c r="H11" s="11" t="s">
        <v>24</v>
      </c>
    </row>
    <row r="12" spans="1:8" ht="16" x14ac:dyDescent="0.2">
      <c r="A12" s="36"/>
      <c r="B12" s="6" t="s">
        <v>36</v>
      </c>
      <c r="C12" s="7" t="s">
        <v>14</v>
      </c>
      <c r="D12" s="7" t="s">
        <v>8</v>
      </c>
      <c r="E12" s="11" t="s">
        <v>1</v>
      </c>
      <c r="F12" s="11" t="s">
        <v>149</v>
      </c>
      <c r="G12" s="11">
        <v>1</v>
      </c>
      <c r="H12" s="11" t="s">
        <v>24</v>
      </c>
    </row>
    <row r="13" spans="1:8" ht="15" customHeight="1" x14ac:dyDescent="0.2">
      <c r="A13" s="36" t="s">
        <v>37</v>
      </c>
      <c r="B13" s="6" t="s">
        <v>38</v>
      </c>
      <c r="C13" s="7" t="s">
        <v>14</v>
      </c>
      <c r="D13" s="7" t="s">
        <v>6</v>
      </c>
      <c r="E13" s="11" t="s">
        <v>1</v>
      </c>
      <c r="F13" s="11" t="s">
        <v>150</v>
      </c>
      <c r="G13" s="11">
        <v>1</v>
      </c>
      <c r="H13" s="11" t="s">
        <v>28</v>
      </c>
    </row>
    <row r="14" spans="1:8" ht="15" customHeight="1" x14ac:dyDescent="0.2">
      <c r="A14" s="36"/>
      <c r="B14" s="6" t="s">
        <v>39</v>
      </c>
      <c r="C14" s="7" t="s">
        <v>14</v>
      </c>
      <c r="D14" s="7" t="s">
        <v>6</v>
      </c>
      <c r="E14" s="11" t="s">
        <v>1</v>
      </c>
      <c r="F14" s="11" t="s">
        <v>150</v>
      </c>
      <c r="G14" s="11">
        <v>1</v>
      </c>
      <c r="H14" s="11" t="s">
        <v>28</v>
      </c>
    </row>
    <row r="15" spans="1:8" ht="15" customHeight="1" x14ac:dyDescent="0.2">
      <c r="A15" s="36"/>
      <c r="B15" s="6" t="s">
        <v>40</v>
      </c>
      <c r="C15" s="7" t="s">
        <v>14</v>
      </c>
      <c r="D15" s="7" t="s">
        <v>6</v>
      </c>
      <c r="E15" s="11" t="s">
        <v>1</v>
      </c>
      <c r="F15" s="11" t="s">
        <v>150</v>
      </c>
      <c r="G15" s="11">
        <v>1</v>
      </c>
      <c r="H15" s="11" t="s">
        <v>28</v>
      </c>
    </row>
    <row r="16" spans="1:8" ht="15" customHeight="1" x14ac:dyDescent="0.2">
      <c r="A16" s="36"/>
      <c r="B16" s="6" t="s">
        <v>41</v>
      </c>
      <c r="C16" s="7" t="s">
        <v>14</v>
      </c>
      <c r="D16" s="7" t="s">
        <v>6</v>
      </c>
      <c r="E16" s="11" t="s">
        <v>1</v>
      </c>
      <c r="F16" s="11" t="s">
        <v>150</v>
      </c>
      <c r="G16" s="11">
        <v>1</v>
      </c>
      <c r="H16" s="11" t="s">
        <v>28</v>
      </c>
    </row>
    <row r="17" spans="1:8" ht="16" customHeight="1" x14ac:dyDescent="0.2">
      <c r="A17" s="36"/>
      <c r="B17" s="6" t="s">
        <v>42</v>
      </c>
      <c r="C17" s="7" t="s">
        <v>14</v>
      </c>
      <c r="D17" s="7" t="s">
        <v>7</v>
      </c>
      <c r="E17" s="11" t="s">
        <v>1</v>
      </c>
      <c r="F17" s="11" t="s">
        <v>149</v>
      </c>
      <c r="G17" s="11">
        <v>1</v>
      </c>
      <c r="H17" s="11" t="s">
        <v>24</v>
      </c>
    </row>
    <row r="18" spans="1:8" ht="16" x14ac:dyDescent="0.2">
      <c r="A18" s="36"/>
      <c r="B18" s="6" t="s">
        <v>43</v>
      </c>
      <c r="C18" s="7" t="s">
        <v>14</v>
      </c>
      <c r="D18" s="7" t="s">
        <v>7</v>
      </c>
      <c r="E18" s="11" t="s">
        <v>1</v>
      </c>
      <c r="F18" s="11" t="s">
        <v>149</v>
      </c>
      <c r="G18" s="11">
        <v>1</v>
      </c>
      <c r="H18" s="11" t="s">
        <v>24</v>
      </c>
    </row>
    <row r="19" spans="1:8" ht="16" customHeight="1" x14ac:dyDescent="0.2">
      <c r="A19" s="36"/>
      <c r="B19" s="6" t="s">
        <v>44</v>
      </c>
      <c r="C19" s="7" t="s">
        <v>15</v>
      </c>
      <c r="D19" s="7" t="s">
        <v>8</v>
      </c>
      <c r="E19" s="11" t="s">
        <v>1</v>
      </c>
      <c r="F19" s="11" t="s">
        <v>152</v>
      </c>
      <c r="G19" s="11">
        <v>3</v>
      </c>
      <c r="H19" s="11" t="s">
        <v>45</v>
      </c>
    </row>
    <row r="20" spans="1:8" ht="16" x14ac:dyDescent="0.2">
      <c r="A20" s="36"/>
      <c r="B20" s="6" t="s">
        <v>46</v>
      </c>
      <c r="C20" s="7" t="s">
        <v>15</v>
      </c>
      <c r="D20" s="7" t="s">
        <v>8</v>
      </c>
      <c r="E20" s="11" t="s">
        <v>2</v>
      </c>
      <c r="F20" s="11" t="s">
        <v>152</v>
      </c>
      <c r="G20" s="11">
        <v>3</v>
      </c>
      <c r="H20" s="11" t="s">
        <v>45</v>
      </c>
    </row>
    <row r="21" spans="1:8" ht="16" customHeight="1" x14ac:dyDescent="0.2">
      <c r="A21" s="36"/>
      <c r="B21" s="6" t="s">
        <v>47</v>
      </c>
      <c r="C21" s="7" t="s">
        <v>14</v>
      </c>
      <c r="D21" s="7" t="s">
        <v>9</v>
      </c>
      <c r="E21" s="11" t="s">
        <v>1</v>
      </c>
      <c r="F21" s="31" t="s">
        <v>149</v>
      </c>
      <c r="G21" s="11">
        <v>2</v>
      </c>
      <c r="H21" s="11" t="s">
        <v>24</v>
      </c>
    </row>
    <row r="22" spans="1:8" ht="18" customHeight="1" x14ac:dyDescent="0.2">
      <c r="A22" s="36"/>
      <c r="B22" s="6" t="s">
        <v>48</v>
      </c>
      <c r="C22" s="7" t="s">
        <v>14</v>
      </c>
      <c r="D22" s="7" t="s">
        <v>9</v>
      </c>
      <c r="E22" s="11" t="s">
        <v>1</v>
      </c>
      <c r="F22" s="31" t="s">
        <v>150</v>
      </c>
      <c r="G22" s="11">
        <v>1</v>
      </c>
      <c r="H22" s="11" t="s">
        <v>24</v>
      </c>
    </row>
    <row r="23" spans="1:8" ht="18" customHeight="1" x14ac:dyDescent="0.2">
      <c r="A23" s="36"/>
      <c r="B23" s="6" t="s">
        <v>49</v>
      </c>
      <c r="C23" s="7" t="s">
        <v>14</v>
      </c>
      <c r="D23" s="7" t="s">
        <v>9</v>
      </c>
      <c r="E23" s="11" t="s">
        <v>1</v>
      </c>
      <c r="F23" s="11" t="s">
        <v>152</v>
      </c>
      <c r="G23" s="11">
        <v>3</v>
      </c>
      <c r="H23" s="11" t="s">
        <v>28</v>
      </c>
    </row>
    <row r="24" spans="1:8" ht="18" customHeight="1" x14ac:dyDescent="0.2">
      <c r="A24" s="36"/>
      <c r="B24" s="6" t="s">
        <v>50</v>
      </c>
      <c r="C24" s="7" t="s">
        <v>14</v>
      </c>
      <c r="D24" s="7" t="s">
        <v>9</v>
      </c>
      <c r="E24" s="11" t="s">
        <v>1</v>
      </c>
      <c r="F24" s="11" t="s">
        <v>152</v>
      </c>
      <c r="G24" s="11">
        <v>3</v>
      </c>
      <c r="H24" s="11" t="s">
        <v>28</v>
      </c>
    </row>
    <row r="25" spans="1:8" ht="18" customHeight="1" x14ac:dyDescent="0.2">
      <c r="A25" s="36"/>
      <c r="B25" s="6" t="s">
        <v>51</v>
      </c>
      <c r="C25" s="7" t="s">
        <v>14</v>
      </c>
      <c r="D25" s="7" t="s">
        <v>9</v>
      </c>
      <c r="E25" s="11" t="s">
        <v>1</v>
      </c>
      <c r="F25" s="11" t="s">
        <v>152</v>
      </c>
      <c r="G25" s="11">
        <v>3</v>
      </c>
      <c r="H25" s="11" t="s">
        <v>24</v>
      </c>
    </row>
    <row r="26" spans="1:8" ht="16" x14ac:dyDescent="0.2">
      <c r="A26" s="36"/>
      <c r="B26" s="6" t="s">
        <v>52</v>
      </c>
      <c r="C26" s="7" t="s">
        <v>14</v>
      </c>
      <c r="D26" s="7" t="s">
        <v>9</v>
      </c>
      <c r="E26" s="11" t="s">
        <v>1</v>
      </c>
      <c r="F26" s="11" t="s">
        <v>152</v>
      </c>
      <c r="G26" s="11">
        <v>3</v>
      </c>
      <c r="H26" s="11" t="s">
        <v>28</v>
      </c>
    </row>
    <row r="27" spans="1:8" ht="16" x14ac:dyDescent="0.2">
      <c r="A27" s="36"/>
      <c r="B27" s="6" t="s">
        <v>53</v>
      </c>
      <c r="C27" s="7" t="s">
        <v>14</v>
      </c>
      <c r="D27" s="7" t="s">
        <v>4</v>
      </c>
      <c r="E27" s="11" t="s">
        <v>1</v>
      </c>
      <c r="F27" s="31" t="s">
        <v>151</v>
      </c>
      <c r="G27" s="11">
        <v>2</v>
      </c>
      <c r="H27" s="11" t="s">
        <v>24</v>
      </c>
    </row>
    <row r="28" spans="1:8" ht="16" x14ac:dyDescent="0.2">
      <c r="A28" s="36"/>
      <c r="B28" s="6" t="s">
        <v>54</v>
      </c>
      <c r="C28" s="7" t="s">
        <v>14</v>
      </c>
      <c r="D28" s="7" t="s">
        <v>5</v>
      </c>
      <c r="E28" s="11" t="s">
        <v>1</v>
      </c>
      <c r="F28" s="31" t="s">
        <v>151</v>
      </c>
      <c r="G28" s="11">
        <v>2</v>
      </c>
      <c r="H28" s="11" t="s">
        <v>24</v>
      </c>
    </row>
    <row r="29" spans="1:8" ht="19" customHeight="1" x14ac:dyDescent="0.2">
      <c r="A29" s="36" t="s">
        <v>55</v>
      </c>
      <c r="B29" s="6" t="s">
        <v>56</v>
      </c>
      <c r="C29" s="11" t="s">
        <v>16</v>
      </c>
      <c r="D29" s="7" t="s">
        <v>7</v>
      </c>
      <c r="E29" s="11" t="s">
        <v>1</v>
      </c>
      <c r="F29" s="11" t="s">
        <v>153</v>
      </c>
      <c r="G29" s="11">
        <v>1</v>
      </c>
      <c r="H29" s="11" t="s">
        <v>28</v>
      </c>
    </row>
    <row r="30" spans="1:8" ht="16" x14ac:dyDescent="0.2">
      <c r="A30" s="36"/>
      <c r="B30" s="14" t="s">
        <v>57</v>
      </c>
      <c r="C30" s="11" t="s">
        <v>16</v>
      </c>
      <c r="D30" s="7" t="s">
        <v>7</v>
      </c>
      <c r="E30" s="11" t="s">
        <v>1</v>
      </c>
      <c r="F30" s="11" t="s">
        <v>153</v>
      </c>
      <c r="G30" s="11">
        <v>1</v>
      </c>
      <c r="H30" s="11" t="s">
        <v>28</v>
      </c>
    </row>
    <row r="31" spans="1:8" ht="16" x14ac:dyDescent="0.2">
      <c r="A31" s="36"/>
      <c r="B31" s="14" t="s">
        <v>58</v>
      </c>
      <c r="C31" s="11" t="s">
        <v>16</v>
      </c>
      <c r="D31" s="7" t="s">
        <v>7</v>
      </c>
      <c r="E31" s="11" t="s">
        <v>1</v>
      </c>
      <c r="F31" s="11" t="s">
        <v>153</v>
      </c>
      <c r="G31" s="11">
        <v>1</v>
      </c>
      <c r="H31" s="11" t="s">
        <v>28</v>
      </c>
    </row>
    <row r="32" spans="1:8" ht="15" customHeight="1" x14ac:dyDescent="0.2">
      <c r="A32" s="36" t="s">
        <v>59</v>
      </c>
      <c r="B32" s="6" t="s">
        <v>60</v>
      </c>
      <c r="C32" s="7" t="s">
        <v>14</v>
      </c>
      <c r="D32" s="7" t="s">
        <v>7</v>
      </c>
      <c r="E32" s="11" t="s">
        <v>1</v>
      </c>
      <c r="F32" s="11" t="s">
        <v>149</v>
      </c>
      <c r="G32" s="11">
        <v>1</v>
      </c>
      <c r="H32" s="11" t="s">
        <v>24</v>
      </c>
    </row>
    <row r="33" spans="1:8" ht="15" customHeight="1" x14ac:dyDescent="0.2">
      <c r="A33" s="36"/>
      <c r="B33" s="6" t="s">
        <v>61</v>
      </c>
      <c r="C33" s="7" t="s">
        <v>14</v>
      </c>
      <c r="D33" s="7" t="s">
        <v>7</v>
      </c>
      <c r="E33" s="11" t="s">
        <v>1</v>
      </c>
      <c r="F33" s="11" t="s">
        <v>151</v>
      </c>
      <c r="G33" s="11">
        <v>2</v>
      </c>
      <c r="H33" s="11" t="s">
        <v>24</v>
      </c>
    </row>
    <row r="34" spans="1:8" ht="16" x14ac:dyDescent="0.2">
      <c r="A34" s="36"/>
      <c r="B34" s="14" t="s">
        <v>62</v>
      </c>
      <c r="C34" s="7" t="s">
        <v>14</v>
      </c>
      <c r="D34" s="7" t="s">
        <v>4</v>
      </c>
      <c r="E34" s="11" t="s">
        <v>1</v>
      </c>
      <c r="F34" s="11" t="s">
        <v>149</v>
      </c>
      <c r="G34" s="11">
        <v>2</v>
      </c>
      <c r="H34" s="11" t="s">
        <v>24</v>
      </c>
    </row>
    <row r="35" spans="1:8" ht="16" x14ac:dyDescent="0.2">
      <c r="A35" s="36"/>
      <c r="B35" s="6" t="s">
        <v>63</v>
      </c>
      <c r="C35" s="7" t="s">
        <v>14</v>
      </c>
      <c r="D35" s="7" t="s">
        <v>4</v>
      </c>
      <c r="E35" s="11" t="s">
        <v>1</v>
      </c>
      <c r="F35" s="11" t="s">
        <v>154</v>
      </c>
      <c r="G35" s="11">
        <v>2</v>
      </c>
      <c r="H35" s="11" t="s">
        <v>24</v>
      </c>
    </row>
    <row r="36" spans="1:8" ht="16" x14ac:dyDescent="0.2">
      <c r="A36" s="36"/>
      <c r="B36" s="6" t="s">
        <v>64</v>
      </c>
      <c r="C36" s="7" t="s">
        <v>14</v>
      </c>
      <c r="D36" s="7" t="s">
        <v>4</v>
      </c>
      <c r="E36" s="11" t="s">
        <v>1</v>
      </c>
      <c r="F36" s="11" t="s">
        <v>151</v>
      </c>
      <c r="G36" s="11">
        <v>2</v>
      </c>
      <c r="H36" s="11" t="s">
        <v>24</v>
      </c>
    </row>
    <row r="37" spans="1:8" ht="16" x14ac:dyDescent="0.2">
      <c r="A37" s="36"/>
      <c r="B37" s="6" t="s">
        <v>65</v>
      </c>
      <c r="C37" s="7" t="s">
        <v>14</v>
      </c>
      <c r="D37" s="7" t="s">
        <v>4</v>
      </c>
      <c r="E37" s="11" t="s">
        <v>1</v>
      </c>
      <c r="F37" s="11" t="s">
        <v>151</v>
      </c>
      <c r="G37" s="11">
        <v>2</v>
      </c>
      <c r="H37" s="11" t="s">
        <v>24</v>
      </c>
    </row>
    <row r="38" spans="1:8" ht="16" x14ac:dyDescent="0.2">
      <c r="A38" s="36"/>
      <c r="B38" s="6" t="s">
        <v>66</v>
      </c>
      <c r="C38" s="7" t="s">
        <v>15</v>
      </c>
      <c r="D38" s="7" t="s">
        <v>4</v>
      </c>
      <c r="E38" s="11" t="s">
        <v>1</v>
      </c>
      <c r="F38" s="11" t="s">
        <v>154</v>
      </c>
      <c r="G38" s="11">
        <v>2</v>
      </c>
      <c r="H38" s="11" t="s">
        <v>24</v>
      </c>
    </row>
    <row r="39" spans="1:8" ht="16" x14ac:dyDescent="0.2">
      <c r="A39" s="36"/>
      <c r="B39" s="6" t="s">
        <v>67</v>
      </c>
      <c r="C39" s="7" t="s">
        <v>14</v>
      </c>
      <c r="D39" s="7" t="s">
        <v>4</v>
      </c>
      <c r="E39" s="11" t="s">
        <v>1</v>
      </c>
      <c r="F39" s="11" t="s">
        <v>154</v>
      </c>
      <c r="G39" s="11">
        <v>2</v>
      </c>
      <c r="H39" s="11" t="s">
        <v>24</v>
      </c>
    </row>
    <row r="40" spans="1:8" ht="16" x14ac:dyDescent="0.2">
      <c r="A40" s="36"/>
      <c r="B40" s="6" t="s">
        <v>68</v>
      </c>
      <c r="C40" s="7" t="s">
        <v>14</v>
      </c>
      <c r="D40" s="7" t="s">
        <v>6</v>
      </c>
      <c r="E40" s="11" t="s">
        <v>1</v>
      </c>
      <c r="F40" s="11" t="s">
        <v>151</v>
      </c>
      <c r="G40" s="11">
        <v>2</v>
      </c>
      <c r="H40" s="11" t="s">
        <v>24</v>
      </c>
    </row>
    <row r="41" spans="1:8" ht="16" x14ac:dyDescent="0.2">
      <c r="A41" s="36" t="s">
        <v>69</v>
      </c>
      <c r="B41" s="14" t="s">
        <v>70</v>
      </c>
      <c r="C41" s="11" t="s">
        <v>12</v>
      </c>
      <c r="D41" s="7" t="s">
        <v>6</v>
      </c>
      <c r="E41" s="11" t="s">
        <v>1</v>
      </c>
      <c r="F41" s="11" t="s">
        <v>150</v>
      </c>
      <c r="G41" s="11">
        <v>1</v>
      </c>
      <c r="H41" s="11" t="s">
        <v>24</v>
      </c>
    </row>
    <row r="42" spans="1:8" ht="16" x14ac:dyDescent="0.2">
      <c r="A42" s="36"/>
      <c r="B42" s="14" t="s">
        <v>71</v>
      </c>
      <c r="C42" s="11" t="s">
        <v>12</v>
      </c>
      <c r="D42" s="7" t="s">
        <v>6</v>
      </c>
      <c r="E42" s="11" t="s">
        <v>1</v>
      </c>
      <c r="F42" s="11" t="s">
        <v>150</v>
      </c>
      <c r="G42" s="11">
        <v>1</v>
      </c>
      <c r="H42" s="11" t="s">
        <v>24</v>
      </c>
    </row>
    <row r="43" spans="1:8" ht="16" x14ac:dyDescent="0.2">
      <c r="A43" s="36"/>
      <c r="B43" s="6" t="s">
        <v>72</v>
      </c>
      <c r="C43" s="11" t="s">
        <v>12</v>
      </c>
      <c r="D43" s="7" t="s">
        <v>6</v>
      </c>
      <c r="E43" s="11" t="s">
        <v>1</v>
      </c>
      <c r="F43" s="11" t="s">
        <v>152</v>
      </c>
      <c r="G43" s="11">
        <v>3</v>
      </c>
      <c r="H43" s="11" t="s">
        <v>24</v>
      </c>
    </row>
    <row r="44" spans="1:8" ht="16" x14ac:dyDescent="0.2">
      <c r="A44" s="36"/>
      <c r="B44" s="6" t="s">
        <v>73</v>
      </c>
      <c r="C44" s="7" t="s">
        <v>14</v>
      </c>
      <c r="D44" s="7" t="s">
        <v>6</v>
      </c>
      <c r="E44" s="11" t="s">
        <v>1</v>
      </c>
      <c r="F44" s="11" t="s">
        <v>149</v>
      </c>
      <c r="G44" s="11">
        <v>2</v>
      </c>
      <c r="H44" s="11" t="s">
        <v>28</v>
      </c>
    </row>
    <row r="45" spans="1:8" ht="16" x14ac:dyDescent="0.2">
      <c r="A45" s="36"/>
      <c r="B45" s="6" t="s">
        <v>74</v>
      </c>
      <c r="C45" s="7" t="s">
        <v>14</v>
      </c>
      <c r="D45" s="7" t="s">
        <v>6</v>
      </c>
      <c r="E45" s="11" t="s">
        <v>1</v>
      </c>
      <c r="F45" s="11" t="s">
        <v>152</v>
      </c>
      <c r="G45" s="11">
        <v>3</v>
      </c>
      <c r="H45" s="11" t="s">
        <v>28</v>
      </c>
    </row>
    <row r="46" spans="1:8" ht="16" x14ac:dyDescent="0.2">
      <c r="A46" s="36"/>
      <c r="B46" s="6" t="s">
        <v>75</v>
      </c>
      <c r="C46" s="7" t="s">
        <v>14</v>
      </c>
      <c r="D46" s="7" t="s">
        <v>6</v>
      </c>
      <c r="E46" s="11" t="s">
        <v>1</v>
      </c>
      <c r="F46" s="11" t="s">
        <v>152</v>
      </c>
      <c r="G46" s="11">
        <v>3</v>
      </c>
      <c r="H46" s="11" t="s">
        <v>28</v>
      </c>
    </row>
    <row r="47" spans="1:8" ht="16" x14ac:dyDescent="0.2">
      <c r="A47" s="36"/>
      <c r="B47" s="6" t="s">
        <v>76</v>
      </c>
      <c r="C47" s="7" t="s">
        <v>15</v>
      </c>
      <c r="D47" s="7" t="s">
        <v>6</v>
      </c>
      <c r="E47" s="11" t="s">
        <v>1</v>
      </c>
      <c r="F47" s="11" t="s">
        <v>152</v>
      </c>
      <c r="G47" s="11">
        <v>3</v>
      </c>
      <c r="H47" s="31" t="s">
        <v>24</v>
      </c>
    </row>
    <row r="48" spans="1:8" ht="16" x14ac:dyDescent="0.2">
      <c r="A48" s="36"/>
      <c r="B48" s="6" t="s">
        <v>77</v>
      </c>
      <c r="C48" s="7" t="s">
        <v>14</v>
      </c>
      <c r="D48" s="7" t="s">
        <v>8</v>
      </c>
      <c r="E48" s="11" t="s">
        <v>1</v>
      </c>
      <c r="F48" s="11" t="s">
        <v>152</v>
      </c>
      <c r="G48" s="11">
        <v>3</v>
      </c>
      <c r="H48" s="11" t="s">
        <v>45</v>
      </c>
    </row>
    <row r="49" spans="1:8" ht="16" x14ac:dyDescent="0.2">
      <c r="A49" s="36"/>
      <c r="B49" s="6" t="s">
        <v>78</v>
      </c>
      <c r="C49" s="7" t="s">
        <v>15</v>
      </c>
      <c r="D49" s="7" t="s">
        <v>8</v>
      </c>
      <c r="E49" s="11" t="s">
        <v>2</v>
      </c>
      <c r="F49" s="11" t="s">
        <v>152</v>
      </c>
      <c r="G49" s="11">
        <v>3</v>
      </c>
      <c r="H49" s="11" t="s">
        <v>45</v>
      </c>
    </row>
    <row r="50" spans="1:8" ht="16" x14ac:dyDescent="0.2">
      <c r="A50" s="36"/>
      <c r="B50" s="6" t="s">
        <v>79</v>
      </c>
      <c r="C50" s="7" t="s">
        <v>15</v>
      </c>
      <c r="D50" s="7" t="s">
        <v>5</v>
      </c>
      <c r="E50" s="11" t="s">
        <v>2</v>
      </c>
      <c r="F50" s="11" t="s">
        <v>152</v>
      </c>
      <c r="G50" s="11">
        <v>3</v>
      </c>
      <c r="H50" s="11" t="s">
        <v>45</v>
      </c>
    </row>
    <row r="51" spans="1:8" ht="16" x14ac:dyDescent="0.2">
      <c r="A51" s="36"/>
      <c r="B51" s="6" t="s">
        <v>80</v>
      </c>
      <c r="C51" s="7" t="s">
        <v>15</v>
      </c>
      <c r="D51" s="7" t="s">
        <v>4</v>
      </c>
      <c r="E51" s="11" t="s">
        <v>2</v>
      </c>
      <c r="F51" s="11" t="s">
        <v>152</v>
      </c>
      <c r="G51" s="11">
        <v>3</v>
      </c>
      <c r="H51" s="11" t="s">
        <v>45</v>
      </c>
    </row>
    <row r="52" spans="1:8" ht="16" x14ac:dyDescent="0.2">
      <c r="A52" s="36"/>
      <c r="B52" s="6" t="s">
        <v>81</v>
      </c>
      <c r="C52" s="4" t="s">
        <v>11</v>
      </c>
      <c r="D52" s="7" t="s">
        <v>6</v>
      </c>
      <c r="E52" s="11" t="s">
        <v>1</v>
      </c>
      <c r="F52" s="11" t="s">
        <v>154</v>
      </c>
      <c r="G52" s="11">
        <v>2</v>
      </c>
      <c r="H52" s="11" t="s">
        <v>24</v>
      </c>
    </row>
    <row r="53" spans="1:8" ht="16" x14ac:dyDescent="0.2">
      <c r="A53" s="36"/>
      <c r="B53" s="6" t="s">
        <v>82</v>
      </c>
      <c r="C53" s="11" t="s">
        <v>12</v>
      </c>
      <c r="D53" s="7" t="s">
        <v>4</v>
      </c>
      <c r="E53" s="11" t="s">
        <v>1</v>
      </c>
      <c r="F53" s="11" t="s">
        <v>152</v>
      </c>
      <c r="G53" s="11">
        <v>3</v>
      </c>
      <c r="H53" s="11" t="s">
        <v>24</v>
      </c>
    </row>
    <row r="54" spans="1:8" ht="16" customHeight="1" x14ac:dyDescent="0.2">
      <c r="A54" s="36" t="s">
        <v>83</v>
      </c>
      <c r="B54" s="6" t="s">
        <v>84</v>
      </c>
      <c r="C54" s="7" t="s">
        <v>14</v>
      </c>
      <c r="D54" s="7" t="s">
        <v>4</v>
      </c>
      <c r="E54" s="11" t="s">
        <v>1</v>
      </c>
      <c r="F54" s="11" t="s">
        <v>154</v>
      </c>
      <c r="G54" s="11">
        <v>3</v>
      </c>
      <c r="H54" s="11" t="s">
        <v>24</v>
      </c>
    </row>
    <row r="55" spans="1:8" ht="96" x14ac:dyDescent="0.2">
      <c r="A55" s="36"/>
      <c r="B55" s="6" t="s">
        <v>85</v>
      </c>
      <c r="C55" s="7" t="s">
        <v>14</v>
      </c>
      <c r="D55" s="7" t="s">
        <v>7</v>
      </c>
      <c r="E55" s="11" t="s">
        <v>1</v>
      </c>
      <c r="F55" s="11" t="s">
        <v>154</v>
      </c>
      <c r="G55" s="11">
        <v>2</v>
      </c>
      <c r="H55" s="11" t="s">
        <v>24</v>
      </c>
    </row>
    <row r="56" spans="1:8" ht="16" x14ac:dyDescent="0.2">
      <c r="A56" s="36"/>
      <c r="B56" s="6" t="s">
        <v>86</v>
      </c>
      <c r="C56" s="7" t="s">
        <v>14</v>
      </c>
      <c r="D56" s="7" t="s">
        <v>7</v>
      </c>
      <c r="E56" s="11" t="s">
        <v>1</v>
      </c>
      <c r="F56" s="11" t="s">
        <v>149</v>
      </c>
      <c r="G56" s="11">
        <v>1</v>
      </c>
      <c r="H56" s="11" t="s">
        <v>24</v>
      </c>
    </row>
    <row r="57" spans="1:8" ht="16" x14ac:dyDescent="0.2">
      <c r="A57" s="36"/>
      <c r="B57" s="6" t="s">
        <v>87</v>
      </c>
      <c r="C57" s="7" t="s">
        <v>14</v>
      </c>
      <c r="D57" s="7" t="s">
        <v>7</v>
      </c>
      <c r="E57" s="11" t="s">
        <v>1</v>
      </c>
      <c r="F57" s="31" t="s">
        <v>154</v>
      </c>
      <c r="G57" s="11">
        <v>2</v>
      </c>
      <c r="H57" s="11" t="s">
        <v>24</v>
      </c>
    </row>
    <row r="58" spans="1:8" ht="16" x14ac:dyDescent="0.2">
      <c r="A58" s="36"/>
      <c r="B58" s="6" t="s">
        <v>88</v>
      </c>
      <c r="C58" s="7" t="s">
        <v>14</v>
      </c>
      <c r="D58" s="7" t="s">
        <v>7</v>
      </c>
      <c r="E58" s="11" t="s">
        <v>1</v>
      </c>
      <c r="F58" s="11" t="s">
        <v>154</v>
      </c>
      <c r="G58" s="11">
        <v>2</v>
      </c>
      <c r="H58" s="11" t="s">
        <v>24</v>
      </c>
    </row>
    <row r="59" spans="1:8" ht="15" customHeight="1" x14ac:dyDescent="0.2">
      <c r="A59" s="36"/>
      <c r="B59" s="6" t="s">
        <v>89</v>
      </c>
      <c r="C59" s="7" t="s">
        <v>14</v>
      </c>
      <c r="D59" s="7" t="s">
        <v>5</v>
      </c>
      <c r="E59" s="11" t="s">
        <v>1</v>
      </c>
      <c r="F59" s="11" t="s">
        <v>151</v>
      </c>
      <c r="G59" s="11">
        <v>2</v>
      </c>
      <c r="H59" s="11" t="s">
        <v>24</v>
      </c>
    </row>
    <row r="60" spans="1:8" ht="15" customHeight="1" x14ac:dyDescent="0.2">
      <c r="A60" s="36"/>
      <c r="B60" s="28" t="s">
        <v>90</v>
      </c>
      <c r="C60" s="29" t="s">
        <v>14</v>
      </c>
      <c r="D60" s="29" t="s">
        <v>5</v>
      </c>
      <c r="E60" s="30"/>
      <c r="F60" s="30" t="s">
        <v>152</v>
      </c>
      <c r="G60" s="30">
        <v>3</v>
      </c>
      <c r="H60" s="30" t="s">
        <v>24</v>
      </c>
    </row>
    <row r="61" spans="1:8" ht="15" customHeight="1" x14ac:dyDescent="0.2">
      <c r="A61" s="36"/>
      <c r="B61" s="6" t="s">
        <v>91</v>
      </c>
      <c r="C61" s="7" t="s">
        <v>15</v>
      </c>
      <c r="D61" s="7" t="s">
        <v>5</v>
      </c>
      <c r="E61" s="11" t="s">
        <v>1</v>
      </c>
      <c r="F61" s="11" t="s">
        <v>152</v>
      </c>
      <c r="G61" s="11">
        <v>3</v>
      </c>
      <c r="H61" s="11" t="s">
        <v>45</v>
      </c>
    </row>
    <row r="62" spans="1:8" ht="16" x14ac:dyDescent="0.2">
      <c r="A62" s="36"/>
      <c r="B62" s="6" t="s">
        <v>92</v>
      </c>
      <c r="C62" s="7" t="s">
        <v>15</v>
      </c>
      <c r="D62" s="7" t="s">
        <v>5</v>
      </c>
      <c r="E62" s="11" t="s">
        <v>1</v>
      </c>
      <c r="F62" s="11" t="s">
        <v>152</v>
      </c>
      <c r="G62" s="11">
        <v>3</v>
      </c>
      <c r="H62" s="11" t="s">
        <v>45</v>
      </c>
    </row>
    <row r="63" spans="1:8" ht="16" x14ac:dyDescent="0.2">
      <c r="A63" s="36"/>
      <c r="B63" s="6" t="s">
        <v>93</v>
      </c>
      <c r="C63" s="7" t="s">
        <v>15</v>
      </c>
      <c r="D63" s="7" t="s">
        <v>5</v>
      </c>
      <c r="E63" s="11" t="s">
        <v>1</v>
      </c>
      <c r="F63" s="11" t="s">
        <v>152</v>
      </c>
      <c r="G63" s="11">
        <v>3</v>
      </c>
      <c r="H63" s="11" t="s">
        <v>45</v>
      </c>
    </row>
    <row r="64" spans="1:8" ht="47" customHeight="1" x14ac:dyDescent="0.2">
      <c r="A64" s="36"/>
      <c r="B64" s="6" t="s">
        <v>94</v>
      </c>
      <c r="C64" s="7" t="s">
        <v>15</v>
      </c>
      <c r="D64" s="7" t="s">
        <v>5</v>
      </c>
      <c r="E64" s="11" t="s">
        <v>2</v>
      </c>
      <c r="F64" s="11" t="s">
        <v>152</v>
      </c>
      <c r="G64" s="11">
        <v>3</v>
      </c>
      <c r="H64" s="11" t="s">
        <v>45</v>
      </c>
    </row>
    <row r="65" spans="1:8" ht="16" x14ac:dyDescent="0.2">
      <c r="A65" s="36"/>
      <c r="B65" s="6" t="s">
        <v>95</v>
      </c>
      <c r="C65" s="7" t="s">
        <v>15</v>
      </c>
      <c r="D65" s="7" t="s">
        <v>5</v>
      </c>
      <c r="E65" s="11" t="s">
        <v>2</v>
      </c>
      <c r="F65" s="11" t="s">
        <v>152</v>
      </c>
      <c r="G65" s="11">
        <v>3</v>
      </c>
      <c r="H65" s="11" t="s">
        <v>45</v>
      </c>
    </row>
    <row r="66" spans="1:8" ht="16" x14ac:dyDescent="0.2">
      <c r="A66" s="36"/>
      <c r="B66" s="6" t="s">
        <v>96</v>
      </c>
      <c r="C66" s="7" t="s">
        <v>15</v>
      </c>
      <c r="D66" s="7" t="s">
        <v>5</v>
      </c>
      <c r="E66" s="11" t="s">
        <v>1</v>
      </c>
      <c r="F66" s="11" t="s">
        <v>152</v>
      </c>
      <c r="G66" s="11">
        <v>2</v>
      </c>
      <c r="H66" s="11" t="s">
        <v>45</v>
      </c>
    </row>
    <row r="67" spans="1:8" ht="16" customHeight="1" x14ac:dyDescent="0.2">
      <c r="A67" s="36" t="s">
        <v>97</v>
      </c>
      <c r="B67" s="6" t="s">
        <v>98</v>
      </c>
      <c r="C67" s="7" t="s">
        <v>15</v>
      </c>
      <c r="D67" s="7" t="s">
        <v>5</v>
      </c>
      <c r="E67" s="11" t="s">
        <v>2</v>
      </c>
      <c r="F67" s="11" t="s">
        <v>152</v>
      </c>
      <c r="G67" s="11">
        <v>3</v>
      </c>
      <c r="H67" s="11" t="s">
        <v>45</v>
      </c>
    </row>
    <row r="68" spans="1:8" ht="16" x14ac:dyDescent="0.2">
      <c r="A68" s="36"/>
      <c r="B68" s="6" t="s">
        <v>99</v>
      </c>
      <c r="C68" s="7" t="s">
        <v>15</v>
      </c>
      <c r="D68" s="7" t="s">
        <v>5</v>
      </c>
      <c r="E68" s="11" t="s">
        <v>2</v>
      </c>
      <c r="F68" s="11" t="s">
        <v>152</v>
      </c>
      <c r="G68" s="11">
        <v>3</v>
      </c>
      <c r="H68" s="11" t="s">
        <v>45</v>
      </c>
    </row>
    <row r="69" spans="1:8" ht="16" x14ac:dyDescent="0.2">
      <c r="A69" s="36"/>
      <c r="B69" s="6" t="s">
        <v>100</v>
      </c>
      <c r="C69" s="7" t="s">
        <v>15</v>
      </c>
      <c r="D69" s="7" t="s">
        <v>8</v>
      </c>
      <c r="E69" s="11" t="s">
        <v>2</v>
      </c>
      <c r="F69" s="11" t="s">
        <v>152</v>
      </c>
      <c r="G69" s="11">
        <v>3</v>
      </c>
      <c r="H69" s="11" t="s">
        <v>45</v>
      </c>
    </row>
    <row r="70" spans="1:8" ht="16" x14ac:dyDescent="0.2">
      <c r="A70" s="36"/>
      <c r="B70" s="6" t="s">
        <v>101</v>
      </c>
      <c r="C70" s="7" t="s">
        <v>15</v>
      </c>
      <c r="D70" s="7" t="s">
        <v>8</v>
      </c>
      <c r="E70" s="11" t="s">
        <v>2</v>
      </c>
      <c r="F70" s="11" t="s">
        <v>152</v>
      </c>
      <c r="G70" s="11">
        <v>3</v>
      </c>
      <c r="H70" s="11" t="s">
        <v>45</v>
      </c>
    </row>
    <row r="71" spans="1:8" ht="16" x14ac:dyDescent="0.2">
      <c r="A71" s="36"/>
      <c r="B71" s="6" t="s">
        <v>102</v>
      </c>
      <c r="C71" s="7" t="s">
        <v>15</v>
      </c>
      <c r="D71" s="7" t="s">
        <v>4</v>
      </c>
      <c r="E71" s="11" t="s">
        <v>2</v>
      </c>
      <c r="F71" s="11" t="s">
        <v>152</v>
      </c>
      <c r="G71" s="11">
        <v>3</v>
      </c>
      <c r="H71" s="11" t="s">
        <v>45</v>
      </c>
    </row>
    <row r="72" spans="1:8" ht="16" x14ac:dyDescent="0.2">
      <c r="A72" s="36" t="s">
        <v>103</v>
      </c>
      <c r="B72" s="14" t="s">
        <v>104</v>
      </c>
      <c r="C72" s="7" t="s">
        <v>14</v>
      </c>
      <c r="D72" s="7" t="s">
        <v>5</v>
      </c>
      <c r="E72" s="11" t="s">
        <v>1</v>
      </c>
      <c r="F72" s="11" t="s">
        <v>154</v>
      </c>
      <c r="G72" s="11">
        <v>2</v>
      </c>
      <c r="H72" s="11" t="s">
        <v>24</v>
      </c>
    </row>
    <row r="73" spans="1:8" ht="16" x14ac:dyDescent="0.2">
      <c r="A73" s="36"/>
      <c r="B73" s="6" t="s">
        <v>105</v>
      </c>
      <c r="C73" s="7" t="s">
        <v>15</v>
      </c>
      <c r="D73" s="7" t="s">
        <v>8</v>
      </c>
      <c r="E73" s="11" t="s">
        <v>2</v>
      </c>
      <c r="F73" s="11" t="s">
        <v>152</v>
      </c>
      <c r="G73" s="11">
        <v>3</v>
      </c>
      <c r="H73" s="11" t="s">
        <v>45</v>
      </c>
    </row>
    <row r="74" spans="1:8" ht="16" customHeight="1" x14ac:dyDescent="0.2">
      <c r="A74" s="36"/>
      <c r="B74" s="6" t="s">
        <v>106</v>
      </c>
      <c r="C74" s="11" t="s">
        <v>16</v>
      </c>
      <c r="D74" s="7" t="s">
        <v>7</v>
      </c>
      <c r="E74" s="11" t="s">
        <v>1</v>
      </c>
      <c r="F74" s="11" t="s">
        <v>151</v>
      </c>
      <c r="G74" s="11">
        <v>2</v>
      </c>
      <c r="H74" s="11" t="s">
        <v>24</v>
      </c>
    </row>
    <row r="75" spans="1:8" ht="16" x14ac:dyDescent="0.2">
      <c r="A75" s="36"/>
      <c r="B75" s="6" t="s">
        <v>107</v>
      </c>
      <c r="C75" s="11" t="s">
        <v>16</v>
      </c>
      <c r="D75" s="7" t="s">
        <v>7</v>
      </c>
      <c r="E75" s="11" t="s">
        <v>1</v>
      </c>
      <c r="F75" s="11" t="s">
        <v>151</v>
      </c>
      <c r="G75" s="11">
        <v>2</v>
      </c>
      <c r="H75" s="11" t="s">
        <v>24</v>
      </c>
    </row>
    <row r="76" spans="1:8" ht="17" customHeight="1" x14ac:dyDescent="0.2">
      <c r="A76" s="36" t="s">
        <v>108</v>
      </c>
      <c r="B76" s="6" t="s">
        <v>109</v>
      </c>
      <c r="C76" s="7" t="s">
        <v>14</v>
      </c>
      <c r="D76" s="7" t="s">
        <v>4</v>
      </c>
      <c r="E76" s="11" t="s">
        <v>1</v>
      </c>
      <c r="F76" s="11" t="s">
        <v>151</v>
      </c>
      <c r="G76" s="11">
        <v>2</v>
      </c>
      <c r="H76" s="11" t="s">
        <v>24</v>
      </c>
    </row>
    <row r="77" spans="1:8" ht="16" x14ac:dyDescent="0.2">
      <c r="A77" s="36"/>
      <c r="B77" s="6" t="s">
        <v>110</v>
      </c>
      <c r="C77" s="7" t="s">
        <v>14</v>
      </c>
      <c r="D77" s="7" t="s">
        <v>4</v>
      </c>
      <c r="E77" s="11" t="s">
        <v>2</v>
      </c>
      <c r="F77" s="11" t="s">
        <v>151</v>
      </c>
      <c r="G77" s="11">
        <v>2</v>
      </c>
      <c r="H77" s="11" t="s">
        <v>45</v>
      </c>
    </row>
    <row r="78" spans="1:8" ht="16" x14ac:dyDescent="0.2">
      <c r="A78" s="36"/>
      <c r="B78" s="6" t="s">
        <v>111</v>
      </c>
      <c r="C78" s="7" t="s">
        <v>14</v>
      </c>
      <c r="D78" s="7" t="s">
        <v>4</v>
      </c>
      <c r="E78" s="11" t="s">
        <v>1</v>
      </c>
      <c r="F78" s="11" t="s">
        <v>151</v>
      </c>
      <c r="G78" s="11">
        <v>2</v>
      </c>
      <c r="H78" s="11" t="s">
        <v>24</v>
      </c>
    </row>
    <row r="79" spans="1:8" ht="16" x14ac:dyDescent="0.2">
      <c r="A79" s="36"/>
      <c r="B79" s="6" t="s">
        <v>112</v>
      </c>
      <c r="C79" s="7" t="s">
        <v>14</v>
      </c>
      <c r="D79" s="7" t="s">
        <v>4</v>
      </c>
      <c r="E79" s="11" t="s">
        <v>2</v>
      </c>
      <c r="F79" s="11" t="s">
        <v>152</v>
      </c>
      <c r="G79" s="11">
        <v>3</v>
      </c>
      <c r="H79" s="11" t="s">
        <v>45</v>
      </c>
    </row>
    <row r="80" spans="1:8" ht="16" x14ac:dyDescent="0.2">
      <c r="A80" s="36"/>
      <c r="B80" s="6" t="s">
        <v>113</v>
      </c>
      <c r="C80" s="7" t="s">
        <v>15</v>
      </c>
      <c r="D80" s="7" t="s">
        <v>5</v>
      </c>
      <c r="E80" s="11" t="s">
        <v>2</v>
      </c>
      <c r="F80" s="11" t="s">
        <v>152</v>
      </c>
      <c r="G80" s="11">
        <v>3</v>
      </c>
      <c r="H80" s="11" t="s">
        <v>45</v>
      </c>
    </row>
    <row r="81" spans="1:8" ht="16" x14ac:dyDescent="0.2">
      <c r="A81" s="7" t="s">
        <v>114</v>
      </c>
      <c r="B81" s="6" t="s">
        <v>115</v>
      </c>
      <c r="C81" s="11" t="s">
        <v>13</v>
      </c>
      <c r="D81" s="7" t="s">
        <v>5</v>
      </c>
      <c r="E81" s="11" t="s">
        <v>2</v>
      </c>
      <c r="F81" s="11" t="s">
        <v>152</v>
      </c>
      <c r="G81" s="11">
        <v>3</v>
      </c>
      <c r="H81" s="11" t="s">
        <v>45</v>
      </c>
    </row>
    <row r="82" spans="1:8" ht="16" x14ac:dyDescent="0.2">
      <c r="A82" s="36" t="s">
        <v>116</v>
      </c>
      <c r="B82" s="6" t="s">
        <v>117</v>
      </c>
      <c r="C82" s="7" t="s">
        <v>14</v>
      </c>
      <c r="D82" s="7" t="s">
        <v>7</v>
      </c>
      <c r="E82" s="11" t="s">
        <v>2</v>
      </c>
      <c r="F82" s="11" t="s">
        <v>152</v>
      </c>
      <c r="G82" s="11">
        <v>3</v>
      </c>
      <c r="H82" s="11" t="s">
        <v>45</v>
      </c>
    </row>
    <row r="83" spans="1:8" ht="16" x14ac:dyDescent="0.2">
      <c r="A83" s="36"/>
      <c r="B83" s="6" t="s">
        <v>118</v>
      </c>
      <c r="C83" s="7" t="s">
        <v>14</v>
      </c>
      <c r="D83" s="7" t="s">
        <v>7</v>
      </c>
      <c r="E83" s="11" t="s">
        <v>2</v>
      </c>
      <c r="F83" s="11" t="s">
        <v>154</v>
      </c>
      <c r="G83" s="11">
        <v>2</v>
      </c>
      <c r="H83" s="11" t="s">
        <v>24</v>
      </c>
    </row>
    <row r="84" spans="1:8" ht="16" x14ac:dyDescent="0.2">
      <c r="A84" s="36"/>
      <c r="B84" s="6" t="s">
        <v>119</v>
      </c>
      <c r="C84" s="7" t="s">
        <v>14</v>
      </c>
      <c r="D84" s="7" t="s">
        <v>7</v>
      </c>
      <c r="E84" s="11" t="s">
        <v>2</v>
      </c>
      <c r="F84" s="11" t="s">
        <v>154</v>
      </c>
      <c r="G84" s="11">
        <v>2</v>
      </c>
      <c r="H84" s="11" t="s">
        <v>24</v>
      </c>
    </row>
    <row r="85" spans="1:8" ht="16" x14ac:dyDescent="0.2">
      <c r="A85" s="36"/>
      <c r="B85" s="6" t="s">
        <v>120</v>
      </c>
      <c r="C85" s="7" t="s">
        <v>14</v>
      </c>
      <c r="D85" s="7" t="s">
        <v>7</v>
      </c>
      <c r="E85" s="11" t="s">
        <v>2</v>
      </c>
      <c r="F85" s="11" t="s">
        <v>154</v>
      </c>
      <c r="G85" s="11">
        <v>2</v>
      </c>
      <c r="H85" s="11" t="s">
        <v>24</v>
      </c>
    </row>
    <row r="86" spans="1:8" ht="16" x14ac:dyDescent="0.2">
      <c r="A86" s="36"/>
      <c r="B86" s="6" t="s">
        <v>121</v>
      </c>
      <c r="C86" s="7" t="s">
        <v>14</v>
      </c>
      <c r="D86" s="7" t="s">
        <v>7</v>
      </c>
      <c r="E86" s="11" t="s">
        <v>2</v>
      </c>
      <c r="F86" s="11" t="s">
        <v>152</v>
      </c>
      <c r="G86" s="11">
        <v>3</v>
      </c>
      <c r="H86" s="11" t="s">
        <v>45</v>
      </c>
    </row>
    <row r="87" spans="1:8" ht="16" customHeight="1" x14ac:dyDescent="0.2">
      <c r="A87" s="36" t="s">
        <v>122</v>
      </c>
      <c r="B87" s="6" t="s">
        <v>123</v>
      </c>
      <c r="C87" s="7" t="s">
        <v>15</v>
      </c>
      <c r="D87" s="7" t="s">
        <v>8</v>
      </c>
      <c r="E87" s="11" t="s">
        <v>2</v>
      </c>
      <c r="F87" s="11" t="s">
        <v>152</v>
      </c>
      <c r="G87" s="11">
        <v>3</v>
      </c>
      <c r="H87" s="11" t="s">
        <v>45</v>
      </c>
    </row>
    <row r="88" spans="1:8" ht="16" x14ac:dyDescent="0.2">
      <c r="A88" s="36"/>
      <c r="B88" s="6" t="s">
        <v>124</v>
      </c>
      <c r="C88" s="7" t="s">
        <v>15</v>
      </c>
      <c r="D88" s="7" t="s">
        <v>8</v>
      </c>
      <c r="E88" s="11" t="s">
        <v>2</v>
      </c>
      <c r="F88" s="11" t="s">
        <v>152</v>
      </c>
      <c r="G88" s="11">
        <v>3</v>
      </c>
      <c r="H88" s="11" t="s">
        <v>45</v>
      </c>
    </row>
    <row r="89" spans="1:8" ht="16" x14ac:dyDescent="0.2">
      <c r="A89" s="7" t="s">
        <v>125</v>
      </c>
      <c r="B89" s="6" t="s">
        <v>126</v>
      </c>
      <c r="C89" s="7" t="s">
        <v>15</v>
      </c>
      <c r="D89" s="7" t="s">
        <v>5</v>
      </c>
      <c r="E89" s="11" t="s">
        <v>2</v>
      </c>
      <c r="F89" s="11" t="s">
        <v>152</v>
      </c>
      <c r="G89" s="11">
        <v>3</v>
      </c>
      <c r="H89" s="11" t="s">
        <v>45</v>
      </c>
    </row>
    <row r="90" spans="1:8" ht="16" x14ac:dyDescent="0.2">
      <c r="A90" s="36" t="s">
        <v>127</v>
      </c>
      <c r="B90" s="6" t="s">
        <v>128</v>
      </c>
      <c r="C90" s="7" t="s">
        <v>14</v>
      </c>
      <c r="D90" s="7" t="s">
        <v>7</v>
      </c>
      <c r="E90" s="11" t="s">
        <v>1</v>
      </c>
      <c r="F90" s="11" t="s">
        <v>154</v>
      </c>
      <c r="G90" s="11">
        <v>2</v>
      </c>
      <c r="H90" s="11" t="s">
        <v>24</v>
      </c>
    </row>
    <row r="91" spans="1:8" ht="16" x14ac:dyDescent="0.2">
      <c r="A91" s="36"/>
      <c r="B91" s="6" t="s">
        <v>129</v>
      </c>
      <c r="C91" s="7" t="s">
        <v>14</v>
      </c>
      <c r="D91" s="7" t="s">
        <v>7</v>
      </c>
      <c r="E91" s="11" t="s">
        <v>1</v>
      </c>
      <c r="F91" s="11" t="s">
        <v>154</v>
      </c>
      <c r="G91" s="11">
        <v>2</v>
      </c>
      <c r="H91" s="11" t="s">
        <v>24</v>
      </c>
    </row>
    <row r="92" spans="1:8" ht="16" x14ac:dyDescent="0.2">
      <c r="A92" s="36"/>
      <c r="B92" s="6" t="s">
        <v>130</v>
      </c>
      <c r="C92" s="7" t="s">
        <v>14</v>
      </c>
      <c r="D92" s="7" t="s">
        <v>7</v>
      </c>
      <c r="E92" s="11" t="s">
        <v>1</v>
      </c>
      <c r="F92" s="11" t="s">
        <v>154</v>
      </c>
      <c r="G92" s="11">
        <v>2</v>
      </c>
      <c r="H92" s="11" t="s">
        <v>24</v>
      </c>
    </row>
    <row r="93" spans="1:8" ht="16" x14ac:dyDescent="0.2">
      <c r="A93" s="36" t="s">
        <v>131</v>
      </c>
      <c r="B93" s="6" t="s">
        <v>132</v>
      </c>
      <c r="C93" s="7" t="s">
        <v>14</v>
      </c>
      <c r="D93" s="7" t="s">
        <v>9</v>
      </c>
      <c r="E93" s="11" t="s">
        <v>1</v>
      </c>
      <c r="F93" s="11" t="s">
        <v>152</v>
      </c>
      <c r="G93" s="11">
        <v>2</v>
      </c>
      <c r="H93" s="11" t="s">
        <v>28</v>
      </c>
    </row>
    <row r="94" spans="1:8" ht="16" customHeight="1" x14ac:dyDescent="0.2">
      <c r="A94" s="36"/>
      <c r="B94" s="6" t="s">
        <v>133</v>
      </c>
      <c r="C94" s="7" t="s">
        <v>14</v>
      </c>
      <c r="D94" s="7" t="s">
        <v>6</v>
      </c>
      <c r="E94" s="11" t="s">
        <v>1</v>
      </c>
      <c r="F94" s="11" t="s">
        <v>151</v>
      </c>
      <c r="G94" s="11">
        <v>2</v>
      </c>
      <c r="H94" s="11" t="s">
        <v>28</v>
      </c>
    </row>
    <row r="95" spans="1:8" ht="16" x14ac:dyDescent="0.2">
      <c r="A95" s="36"/>
      <c r="B95" s="6" t="s">
        <v>134</v>
      </c>
      <c r="C95" s="7" t="s">
        <v>14</v>
      </c>
      <c r="D95" s="7" t="s">
        <v>6</v>
      </c>
      <c r="E95" s="11" t="s">
        <v>1</v>
      </c>
      <c r="F95" s="11" t="s">
        <v>152</v>
      </c>
      <c r="G95" s="11">
        <v>3</v>
      </c>
      <c r="H95" s="11" t="s">
        <v>28</v>
      </c>
    </row>
    <row r="96" spans="1:8" ht="16" x14ac:dyDescent="0.2">
      <c r="B96" s="1" t="s">
        <v>135</v>
      </c>
      <c r="E96" s="12">
        <f>COUNTIF(E2:E95,"Paid")</f>
        <v>24</v>
      </c>
      <c r="H96" s="12">
        <f>COUNTIF(H2:H95,"Paid")</f>
        <v>0</v>
      </c>
    </row>
    <row r="98" spans="2:8" ht="16" x14ac:dyDescent="0.2">
      <c r="B98" s="3" t="s">
        <v>10</v>
      </c>
      <c r="C98" s="3" t="s">
        <v>136</v>
      </c>
      <c r="D98" s="18" t="s">
        <v>137</v>
      </c>
      <c r="E98" s="16" t="s">
        <v>138</v>
      </c>
      <c r="F98" s="16"/>
      <c r="G98" s="16" t="s">
        <v>138</v>
      </c>
      <c r="H98" s="16" t="s">
        <v>138</v>
      </c>
    </row>
    <row r="99" spans="2:8" ht="16" x14ac:dyDescent="0.2">
      <c r="B99" s="4" t="s">
        <v>11</v>
      </c>
      <c r="C99" s="19" t="s">
        <v>139</v>
      </c>
      <c r="D99" s="5">
        <f>COUNTIF(C2:C95,"New Product Integration")</f>
        <v>1</v>
      </c>
      <c r="E99" s="25">
        <f t="shared" ref="E99:H104" si="0">D99/94</f>
        <v>1.0638297872340425E-2</v>
      </c>
      <c r="F99" s="25"/>
      <c r="G99" s="25">
        <f t="shared" ref="G99:G104" si="1">E99/94</f>
        <v>1.1317338162064282E-4</v>
      </c>
      <c r="H99" s="25">
        <f t="shared" si="0"/>
        <v>1.2039721449004555E-6</v>
      </c>
    </row>
    <row r="100" spans="2:8" ht="16" x14ac:dyDescent="0.2">
      <c r="B100" s="4" t="s">
        <v>12</v>
      </c>
      <c r="C100" s="19" t="s">
        <v>139</v>
      </c>
      <c r="D100" s="5">
        <f>COUNTIF(C2:C95,"New Technical Integration")</f>
        <v>5</v>
      </c>
      <c r="E100" s="25">
        <f t="shared" si="0"/>
        <v>5.3191489361702128E-2</v>
      </c>
      <c r="F100" s="25"/>
      <c r="G100" s="25">
        <f t="shared" si="1"/>
        <v>5.6586690810321409E-4</v>
      </c>
      <c r="H100" s="25">
        <f t="shared" si="0"/>
        <v>6.0198607245022778E-6</v>
      </c>
    </row>
    <row r="101" spans="2:8" ht="16" x14ac:dyDescent="0.2">
      <c r="B101" s="4" t="s">
        <v>13</v>
      </c>
      <c r="C101" s="17" t="s">
        <v>140</v>
      </c>
      <c r="D101" s="5">
        <f>COUNTIF(C2:C95,"New Interoperability Capability")</f>
        <v>1</v>
      </c>
      <c r="E101" s="25">
        <f t="shared" si="0"/>
        <v>1.0638297872340425E-2</v>
      </c>
      <c r="F101" s="25"/>
      <c r="G101" s="25">
        <f t="shared" si="1"/>
        <v>1.1317338162064282E-4</v>
      </c>
      <c r="H101" s="25">
        <f t="shared" si="0"/>
        <v>1.2039721449004555E-6</v>
      </c>
    </row>
    <row r="102" spans="2:8" ht="16" x14ac:dyDescent="0.2">
      <c r="B102" s="4" t="s">
        <v>14</v>
      </c>
      <c r="C102" s="20" t="s">
        <v>141</v>
      </c>
      <c r="D102" s="5">
        <f>COUNTIF(C2:C95,"New Feature Introduction")</f>
        <v>56</v>
      </c>
      <c r="E102" s="25">
        <f t="shared" si="0"/>
        <v>0.5957446808510638</v>
      </c>
      <c r="F102" s="25"/>
      <c r="G102" s="25">
        <f t="shared" si="1"/>
        <v>6.3377093707559975E-3</v>
      </c>
      <c r="H102" s="25">
        <f t="shared" si="0"/>
        <v>6.7422440114425501E-5</v>
      </c>
    </row>
    <row r="103" spans="2:8" ht="16" x14ac:dyDescent="0.2">
      <c r="B103" s="4" t="s">
        <v>15</v>
      </c>
      <c r="C103" s="20" t="s">
        <v>141</v>
      </c>
      <c r="D103" s="5">
        <f>COUNTIF(C2:C95,"New Function Introduction")</f>
        <v>26</v>
      </c>
      <c r="E103" s="25">
        <f t="shared" si="0"/>
        <v>0.27659574468085107</v>
      </c>
      <c r="F103" s="25"/>
      <c r="G103" s="25">
        <f t="shared" si="1"/>
        <v>2.9425079221367134E-3</v>
      </c>
      <c r="H103" s="25">
        <f t="shared" si="0"/>
        <v>3.1303275767411844E-5</v>
      </c>
    </row>
    <row r="104" spans="2:8" ht="16" x14ac:dyDescent="0.2">
      <c r="B104" s="4" t="s">
        <v>16</v>
      </c>
      <c r="C104" s="17" t="s">
        <v>140</v>
      </c>
      <c r="D104" s="5">
        <f>COUNTIF(C2:C95,"Sustaining")</f>
        <v>5</v>
      </c>
      <c r="E104" s="25">
        <f t="shared" si="0"/>
        <v>5.3191489361702128E-2</v>
      </c>
      <c r="F104" s="25"/>
      <c r="G104" s="25">
        <f t="shared" si="1"/>
        <v>5.6586690810321409E-4</v>
      </c>
      <c r="H104" s="25">
        <f t="shared" si="0"/>
        <v>6.0198607245022778E-6</v>
      </c>
    </row>
    <row r="106" spans="2:8" ht="16" x14ac:dyDescent="0.2">
      <c r="B106" s="3" t="s">
        <v>3</v>
      </c>
      <c r="C106" s="21" t="s">
        <v>137</v>
      </c>
      <c r="D106" s="16" t="s">
        <v>138</v>
      </c>
    </row>
    <row r="107" spans="2:8" ht="16" x14ac:dyDescent="0.2">
      <c r="B107" s="27" t="s">
        <v>4</v>
      </c>
      <c r="C107" s="17">
        <f>COUNTIF(D2:D95,"Comfort &amp; Health")</f>
        <v>15</v>
      </c>
      <c r="D107" s="24">
        <f>C107/94</f>
        <v>0.15957446808510639</v>
      </c>
    </row>
    <row r="108" spans="2:8" ht="16" x14ac:dyDescent="0.2">
      <c r="B108" s="27" t="s">
        <v>5</v>
      </c>
      <c r="C108" s="17">
        <f>COUNTIF(D2:D95,"Energy &amp; Sustainability")</f>
        <v>16</v>
      </c>
      <c r="D108" s="24">
        <f t="shared" ref="D108:D112" si="2">C108/94</f>
        <v>0.1702127659574468</v>
      </c>
    </row>
    <row r="109" spans="2:8" ht="16" x14ac:dyDescent="0.2">
      <c r="B109" s="27" t="s">
        <v>6</v>
      </c>
      <c r="C109" s="17">
        <f>COUNTIF(D2:D95,"Ease of Use &amp; Accessibility")</f>
        <v>15</v>
      </c>
      <c r="D109" s="24">
        <f t="shared" si="2"/>
        <v>0.15957446808510639</v>
      </c>
    </row>
    <row r="110" spans="2:8" ht="16" x14ac:dyDescent="0.2">
      <c r="B110" s="27" t="s">
        <v>7</v>
      </c>
      <c r="C110" s="17">
        <f>COUNTIF(D2:D95,"Trust, Security &amp; Reliability")</f>
        <v>28</v>
      </c>
      <c r="D110" s="24">
        <f t="shared" si="2"/>
        <v>0.2978723404255319</v>
      </c>
    </row>
    <row r="111" spans="2:8" ht="16" x14ac:dyDescent="0.2">
      <c r="B111" s="27" t="s">
        <v>8</v>
      </c>
      <c r="C111" s="17">
        <f>COUNTIF(D2:D95,"Intelligence &amp; Automation")</f>
        <v>13</v>
      </c>
      <c r="D111" s="24">
        <f t="shared" si="2"/>
        <v>0.13829787234042554</v>
      </c>
    </row>
    <row r="112" spans="2:8" ht="16" x14ac:dyDescent="0.2">
      <c r="B112" s="27" t="s">
        <v>9</v>
      </c>
      <c r="C112" s="17">
        <f>COUNTIF(D2:D95,"Engagement &amp; Personalization")</f>
        <v>7</v>
      </c>
      <c r="D112" s="24">
        <f t="shared" si="2"/>
        <v>7.4468085106382975E-2</v>
      </c>
    </row>
    <row r="114" spans="2:4" ht="16" customHeight="1" x14ac:dyDescent="0.2">
      <c r="B114" s="15" t="s">
        <v>0</v>
      </c>
      <c r="C114" s="22" t="s">
        <v>137</v>
      </c>
      <c r="D114" s="16" t="s">
        <v>138</v>
      </c>
    </row>
    <row r="115" spans="2:4" ht="16" x14ac:dyDescent="0.2">
      <c r="B115" s="7" t="s">
        <v>1</v>
      </c>
      <c r="C115" s="23">
        <f>COUNTIF(E2:E95,"Basic (Free)")</f>
        <v>69</v>
      </c>
      <c r="D115" s="24">
        <f>C115/94</f>
        <v>0.73404255319148937</v>
      </c>
    </row>
    <row r="116" spans="2:4" ht="16" x14ac:dyDescent="0.2">
      <c r="B116" s="7" t="s">
        <v>2</v>
      </c>
      <c r="C116" s="17">
        <f>COUNTIF(E2:E95,"Paid")</f>
        <v>24</v>
      </c>
      <c r="D116" s="24">
        <f>C116/94</f>
        <v>0.25531914893617019</v>
      </c>
    </row>
  </sheetData>
  <mergeCells count="14">
    <mergeCell ref="A9:A12"/>
    <mergeCell ref="A2:A8"/>
    <mergeCell ref="A29:A31"/>
    <mergeCell ref="A13:A28"/>
    <mergeCell ref="A93:A95"/>
    <mergeCell ref="A90:A92"/>
    <mergeCell ref="A87:A88"/>
    <mergeCell ref="A82:A86"/>
    <mergeCell ref="A72:A75"/>
    <mergeCell ref="A76:A80"/>
    <mergeCell ref="A67:A71"/>
    <mergeCell ref="A54:A66"/>
    <mergeCell ref="A41:A53"/>
    <mergeCell ref="A32:A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0345-2114-8A49-B47F-5D1AE6ADA407}">
  <dimension ref="A1:B9"/>
  <sheetViews>
    <sheetView workbookViewId="0">
      <selection activeCell="B27" sqref="B27"/>
    </sheetView>
  </sheetViews>
  <sheetFormatPr baseColWidth="10" defaultColWidth="11.5" defaultRowHeight="15" x14ac:dyDescent="0.2"/>
  <cols>
    <col min="1" max="1" width="19.1640625" customWidth="1"/>
    <col min="2" max="2" width="85.33203125" customWidth="1"/>
  </cols>
  <sheetData>
    <row r="1" spans="1:2" ht="16" x14ac:dyDescent="0.25">
      <c r="A1" s="37" t="s">
        <v>20</v>
      </c>
      <c r="B1" s="37"/>
    </row>
    <row r="2" spans="1:2" x14ac:dyDescent="0.2">
      <c r="A2" s="5">
        <v>1</v>
      </c>
      <c r="B2" s="5" t="s">
        <v>142</v>
      </c>
    </row>
    <row r="3" spans="1:2" x14ac:dyDescent="0.2">
      <c r="A3" s="5">
        <v>2</v>
      </c>
      <c r="B3" s="5" t="s">
        <v>143</v>
      </c>
    </row>
    <row r="4" spans="1:2" x14ac:dyDescent="0.2">
      <c r="A4" s="5">
        <v>3</v>
      </c>
      <c r="B4" s="5" t="s">
        <v>144</v>
      </c>
    </row>
    <row r="6" spans="1:2" ht="16" x14ac:dyDescent="0.25">
      <c r="A6" s="38" t="s">
        <v>21</v>
      </c>
      <c r="B6" s="39"/>
    </row>
    <row r="7" spans="1:2" ht="32" x14ac:dyDescent="0.2">
      <c r="A7" s="32" t="s">
        <v>28</v>
      </c>
      <c r="B7" s="33" t="s">
        <v>145</v>
      </c>
    </row>
    <row r="8" spans="1:2" ht="31" customHeight="1" x14ac:dyDescent="0.2">
      <c r="A8" s="32" t="s">
        <v>24</v>
      </c>
      <c r="B8" s="33" t="s">
        <v>146</v>
      </c>
    </row>
    <row r="9" spans="1:2" ht="64" x14ac:dyDescent="0.2">
      <c r="A9" s="32" t="s">
        <v>45</v>
      </c>
      <c r="B9" s="33" t="s">
        <v>147</v>
      </c>
    </row>
  </sheetData>
  <mergeCells count="2">
    <mergeCell ref="A1:B1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SkyportHome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Ganesan, Vish</cp:lastModifiedBy>
  <cp:revision/>
  <dcterms:created xsi:type="dcterms:W3CDTF">2026-02-19T23:40:32Z</dcterms:created>
  <dcterms:modified xsi:type="dcterms:W3CDTF">2026-06-01T22:47:53Z</dcterms:modified>
  <cp:category/>
  <cp:contentStatus/>
</cp:coreProperties>
</file>