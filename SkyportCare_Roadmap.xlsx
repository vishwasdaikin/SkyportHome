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vishwas/Documents/DevelopmentProjects/Skyport-Web/"/>
    </mc:Choice>
  </mc:AlternateContent>
  <xr:revisionPtr revIDLastSave="0" documentId="13_ncr:1_{1F141B88-8C53-3A44-A35F-21C4B579855F}" xr6:coauthVersionLast="47" xr6:coauthVersionMax="47" xr10:uidLastSave="{00000000-0000-0000-0000-000000000000}"/>
  <bookViews>
    <workbookView xWindow="0" yWindow="760" windowWidth="30240" windowHeight="17760" activeTab="1" xr2:uid="{00000000-000D-0000-FFFF-FFFF00000000}"/>
  </bookViews>
  <sheets>
    <sheet name="Summary" sheetId="2" r:id="rId1"/>
    <sheet name="SkyportCare" sheetId="3" r:id="rId2"/>
    <sheet name="Defintin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3" l="1"/>
  <c r="D57" i="3" s="1"/>
  <c r="B3" i="2" s="1"/>
  <c r="C56" i="3"/>
  <c r="D56" i="3" s="1"/>
  <c r="B2" i="2" s="1"/>
  <c r="C53" i="3"/>
  <c r="D53" i="3" s="1"/>
  <c r="B9" i="2" s="1"/>
  <c r="C52" i="3"/>
  <c r="D52" i="3" s="1"/>
  <c r="B8" i="2" s="1"/>
  <c r="C51" i="3"/>
  <c r="D51" i="3" s="1"/>
  <c r="B7" i="2" s="1"/>
  <c r="C50" i="3"/>
  <c r="D50" i="3" s="1"/>
  <c r="B6" i="2" s="1"/>
  <c r="C49" i="3"/>
  <c r="D49" i="3" s="1"/>
  <c r="B5" i="2" s="1"/>
  <c r="D41" i="3"/>
  <c r="E41" i="3" s="1"/>
  <c r="B12" i="2" s="1"/>
  <c r="D42" i="3"/>
  <c r="E42" i="3" s="1"/>
  <c r="B13" i="2" s="1"/>
  <c r="D43" i="3"/>
  <c r="E43" i="3" s="1"/>
  <c r="B14" i="2" s="1"/>
  <c r="D44" i="3"/>
  <c r="E44" i="3" s="1"/>
  <c r="B15" i="2" s="1"/>
  <c r="D45" i="3"/>
  <c r="E45" i="3" s="1"/>
  <c r="B16" i="2" s="1"/>
  <c r="D46" i="3"/>
  <c r="E46" i="3" s="1"/>
  <c r="B17" i="2" s="1"/>
</calcChain>
</file>

<file path=xl/sharedStrings.xml><?xml version="1.0" encoding="utf-8"?>
<sst xmlns="http://schemas.openxmlformats.org/spreadsheetml/2006/main" count="301" uniqueCount="90">
  <si>
    <t>Feature Group</t>
  </si>
  <si>
    <t>Feature / Function</t>
  </si>
  <si>
    <t>Initiative Type</t>
  </si>
  <si>
    <t>End User Category</t>
  </si>
  <si>
    <t>Monetization Model</t>
  </si>
  <si>
    <t>Owner</t>
  </si>
  <si>
    <t>Trust, Security &amp; Reliability</t>
  </si>
  <si>
    <t>Basic (Free)</t>
  </si>
  <si>
    <t>New Product Integration</t>
  </si>
  <si>
    <t>Engineering</t>
  </si>
  <si>
    <t>New Technical Integration</t>
  </si>
  <si>
    <t>New Interoperability Capability</t>
  </si>
  <si>
    <t xml:space="preserve">Engineering, Digital Apps &amp; Services </t>
  </si>
  <si>
    <t>New Feature Introduction</t>
  </si>
  <si>
    <t xml:space="preserve">Digital Apps &amp; Services </t>
  </si>
  <si>
    <t>New Function Introduction</t>
  </si>
  <si>
    <t>Sustaining</t>
  </si>
  <si>
    <t>Intelligence &amp; Automation</t>
  </si>
  <si>
    <t>Themes</t>
  </si>
  <si>
    <t>Energy &amp; Sustainability</t>
  </si>
  <si>
    <t>Ease of Use &amp; Accessibility</t>
  </si>
  <si>
    <t>Engagement &amp; Personalization</t>
  </si>
  <si>
    <t>Paid</t>
  </si>
  <si>
    <t>Count</t>
  </si>
  <si>
    <t>Count %</t>
  </si>
  <si>
    <t>Aggregated summary view</t>
  </si>
  <si>
    <t>Dealer On-boarding &amp; Set-up</t>
  </si>
  <si>
    <t>Quality Insall</t>
  </si>
  <si>
    <t>Dealer Report</t>
  </si>
  <si>
    <t>Homeowner Report</t>
  </si>
  <si>
    <t>Home Sale Alert</t>
  </si>
  <si>
    <t>Remote Adjust</t>
  </si>
  <si>
    <t>Predictive Maintenance (reminders)</t>
  </si>
  <si>
    <t>Technician Support Tools Alerts (minor &amp; critical errors)</t>
  </si>
  <si>
    <t>Performance, Energy &amp; Runtime Intelligence</t>
  </si>
  <si>
    <t>Energy usage (real-time, historical) for ODU, IDU for selected time frame</t>
  </si>
  <si>
    <t>Energy Usage: System comparison with similar in neighborhood</t>
  </si>
  <si>
    <t>Dealer Operations &amp; Experience</t>
  </si>
  <si>
    <t>Energy runtime - heating/cooling hours/total heating &amp; cooling hours (real-time, historical) for ODU, IDU for selected time frame</t>
  </si>
  <si>
    <t>Performance Insights</t>
  </si>
  <si>
    <t>Quality Install, Commissioning &amp; Compliance</t>
  </si>
  <si>
    <t>Equipment Data – Indoor &amp; Outdoor (All Telemetry)</t>
  </si>
  <si>
    <t>Enterprise, New Construction &amp; Multi‑Tenant</t>
  </si>
  <si>
    <t>Indoor Equipment Data (real-time, historical) for selected time frame
o  Cool setpoint
o  Heat setpoint
o Indoor EV opening
o Indoor gas pipe temp.
o Indoor liquid pipe temp.
o Indoor unit On/Off
o Indoor unit subcool
o Indoor unit superheat
o Operation mode
o Room temp
o Suction air temp</t>
  </si>
  <si>
    <t>Equipment Data: Key summary metrics, refrigerant diagram w/below visual indication
o No refrigerant flow
o Low temp low pressure gas
o Low temp low pressure liquid
o High temp high pressure liquid
o High temp high pressure gas</t>
  </si>
  <si>
    <t>Personalized efficiency reports</t>
  </si>
  <si>
    <t>Proactive referral program</t>
  </si>
  <si>
    <t>Predictive upselling (EOL systems)</t>
  </si>
  <si>
    <t>Predictive Maintenance, &amp; Diagnostics</t>
  </si>
  <si>
    <t>State &amp; Utility Assisted Commissioning compliance</t>
  </si>
  <si>
    <t>Compliance documentation &amp; reports</t>
  </si>
  <si>
    <r>
      <t xml:space="preserve">Outdoor Equipment Data (real-time, historical) for selected time frame
</t>
    </r>
    <r>
      <rPr>
        <u/>
        <sz val="11"/>
        <color theme="1"/>
        <rFont val="Calibri (Body)"/>
      </rPr>
      <t>Compressor health check</t>
    </r>
    <r>
      <rPr>
        <sz val="11"/>
        <color theme="1"/>
        <rFont val="Calibri"/>
        <family val="2"/>
        <scheme val="minor"/>
      </rPr>
      <t xml:space="preserve">
o Target condensing temp, Evaporation temp. (TE), Target evaporation temp &amp; Outside air temp. 
o Compressor discharge pipe temp. 
</t>
    </r>
    <r>
      <rPr>
        <u/>
        <sz val="11"/>
        <color theme="1"/>
        <rFont val="Calibri (Body)"/>
      </rPr>
      <t>Capacity check</t>
    </r>
    <r>
      <rPr>
        <sz val="11"/>
        <color theme="1"/>
        <rFont val="Calibri"/>
        <family val="2"/>
        <scheme val="minor"/>
      </rPr>
      <t xml:space="preserve">
o Defrost 
o Oil return 
o Evaporation temp. (TE), Target evaporation temp &amp;Outside air temp. 
o Compressor target rotation speed 
</t>
    </r>
    <r>
      <rPr>
        <u/>
        <sz val="11"/>
        <color theme="1"/>
        <rFont val="Calibri (Body)"/>
      </rPr>
      <t>Main heat exchanger component health</t>
    </r>
    <r>
      <rPr>
        <sz val="11"/>
        <color theme="1"/>
        <rFont val="Calibri"/>
        <family val="2"/>
        <scheme val="minor"/>
      </rPr>
      <t xml:space="preserve">
o Outside air temp. &amp; Condensing temp. (TC) 
o Heat exchanger gas/liquid pipe temp. (upper) 
o Subcooling heat exchanger gas pipe temp
o Four-way valve (heat exchanger upper &amp; HP/LP gas pipe) 
o EV pulse (heat/subcooling exchanger upper) 
</t>
    </r>
    <r>
      <rPr>
        <u/>
        <sz val="11"/>
        <color theme="1"/>
        <rFont val="Calibri (Body)"/>
      </rPr>
      <t xml:space="preserve">Subcool heat exchanger component health
</t>
    </r>
    <r>
      <rPr>
        <sz val="11"/>
        <color theme="1"/>
        <rFont val="Calibri"/>
        <family val="2"/>
        <scheme val="minor"/>
      </rPr>
      <t xml:space="preserve">o System consumed current 
o Defrost 
o Backup operation, Operation mode 
o Oil return 
o Restart stand by, Thermo state 
o Outside air temp. 
o Compressor &amp; Fan target rotation speed 
o Four-way valve (heat exchanger upper &amp; HP/LP gas pipe) 
o EV pulse (heat/subcooling exchanger upper) </t>
    </r>
  </si>
  <si>
    <t>Hierarchical access &amp; data visibility</t>
  </si>
  <si>
    <t>Role-based workflows</t>
  </si>
  <si>
    <t>SkyportHome tenant access linkage</t>
  </si>
  <si>
    <t>User profile &amp; permissions</t>
  </si>
  <si>
    <t>Premium Capabilities
(AI‑Powered)</t>
  </si>
  <si>
    <t>Dealer–Homeowner Relationship &amp; Growth
(AI‑Powered)</t>
  </si>
  <si>
    <t>Automated parts ordering (AI‑Powered)</t>
  </si>
  <si>
    <t>Automated diagnostics - root cause + parts (AI‑Powered)</t>
  </si>
  <si>
    <t>Autonomous preventative maintenance cycles</t>
  </si>
  <si>
    <t>Auto‑calibration &amp; optimization</t>
  </si>
  <si>
    <t>Virtual Service Visit (AR)</t>
  </si>
  <si>
    <t>Ongoing platform maintenance</t>
  </si>
  <si>
    <t>Data accuracy, uptime &amp; security</t>
  </si>
  <si>
    <t>Platform Maintenance</t>
  </si>
  <si>
    <t>SkyportHome communication w/homeowner (including Dealer brand)</t>
  </si>
  <si>
    <t>Quality install Climate profiles: Go from basic two to cover all climate zones nationwide</t>
  </si>
  <si>
    <t>Support RAQA product line</t>
  </si>
  <si>
    <t>Priority</t>
  </si>
  <si>
    <t>Development</t>
  </si>
  <si>
    <t>Must‑have / Activation &amp; Trust driver (near‑term business impact)</t>
  </si>
  <si>
    <t>Differentiation &amp; Monetization enabler (mid‑term)</t>
  </si>
  <si>
    <t xml:space="preserve"> Future / Advanced intelligence (longer‑term leverage)</t>
  </si>
  <si>
    <t>UI only</t>
  </si>
  <si>
    <t>UI + Data</t>
  </si>
  <si>
    <t>UI + Data + Algorithm</t>
  </si>
  <si>
    <t>Uses existing system state and values for display and interaction only. No backend data aggregation, rules, thresholds, interpretation, or decisioning.</t>
  </si>
  <si>
    <t>Uses existing datasets with backend handling such as aggregation, correlation, rules, or thresholds. May also include new datasets sourced via external APIs, but no prediction, learning, or optimization logic.</t>
  </si>
  <si>
    <t>Uses data plus decisioning logic to recommend, automate, predict, or optimize outcomes.
Includes:
- Business‑logic algorithms (rules, heuristics, deterministic logic)
- R&amp;D‑level algorithms (product based optimizations, etc.)</t>
  </si>
  <si>
    <t>Focus Timeframe</t>
  </si>
  <si>
    <t>Q1 FY26</t>
  </si>
  <si>
    <t>Q2 FY26</t>
  </si>
  <si>
    <t>FY27+</t>
  </si>
  <si>
    <t>Q3 FY26</t>
  </si>
  <si>
    <t>Q4 FY26</t>
  </si>
  <si>
    <t>FY26 (ongoing)</t>
  </si>
  <si>
    <t>Ability for dealers to submit feature requests intuitively</t>
  </si>
  <si>
    <t>ROI &amp; $ Savings Insights (avoided service calls, failure prevention, optimization impact)</t>
  </si>
  <si>
    <t>Actionable Alerts (root cause, impact, recommended 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</si>
</sst>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1"/>
      <name val="Calibri (Body)"/>
    </font>
    <font>
      <b/>
      <sz val="11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readingOrder="1"/>
    </xf>
    <xf numFmtId="0" fontId="3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1" xfId="1" applyFont="1" applyBorder="1" applyAlignment="1">
      <alignment horizontal="center" wrapText="1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2" fillId="2" borderId="0" xfId="0" applyFont="1" applyFill="1" applyAlignment="1">
      <alignment horizontal="center"/>
    </xf>
    <xf numFmtId="9" fontId="0" fillId="0" borderId="0" xfId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Monetization</a:t>
            </a:r>
            <a:r>
              <a:rPr lang="en-US" sz="2400" b="1" baseline="0"/>
              <a:t> Model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14143212422946"/>
          <c:y val="0.20277293705506733"/>
          <c:w val="0.48371729257841894"/>
          <c:h val="0.6057777836261433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D2-C947-9BA9-0027035A46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D2-C947-9BA9-0027035A46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D2-C947-9BA9-0027035A46E2}"/>
              </c:ext>
            </c:extLst>
          </c:dPt>
          <c:cat>
            <c:strRef>
              <c:f>Summary!$A$1:$A$3</c:f>
              <c:strCache>
                <c:ptCount val="3"/>
                <c:pt idx="0">
                  <c:v>Monetization Model</c:v>
                </c:pt>
                <c:pt idx="1">
                  <c:v>Basic (Free)</c:v>
                </c:pt>
                <c:pt idx="2">
                  <c:v>Paid</c:v>
                </c:pt>
              </c:strCache>
            </c:strRef>
          </c:cat>
          <c:val>
            <c:numRef>
              <c:f>Summary!$B$1:$B$3</c:f>
              <c:numCache>
                <c:formatCode>0%</c:formatCode>
                <c:ptCount val="3"/>
                <c:pt idx="1">
                  <c:v>0.72222222222222221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4-0545-B394-083F1C7C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37466251743898"/>
          <c:y val="7.8473007055039568E-2"/>
          <c:w val="0.69765648508428368"/>
          <c:h val="0.795683268161316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Summary!$A$5:$A$10</c:f>
              <c:strCache>
                <c:ptCount val="5"/>
                <c:pt idx="0">
                  <c:v>Energy &amp; Sustainability</c:v>
                </c:pt>
                <c:pt idx="1">
                  <c:v>Ease of Use &amp; Accessibility</c:v>
                </c:pt>
                <c:pt idx="2">
                  <c:v>Trust, Security &amp; Reliability</c:v>
                </c:pt>
                <c:pt idx="3">
                  <c:v>Intelligence &amp; Automation</c:v>
                </c:pt>
                <c:pt idx="4">
                  <c:v>Engagement &amp; Personalization</c:v>
                </c:pt>
              </c:strCache>
            </c:strRef>
          </c:cat>
          <c:val>
            <c:numRef>
              <c:f>Summary!$B$5:$B$10</c:f>
              <c:numCache>
                <c:formatCode>0%</c:formatCode>
                <c:ptCount val="6"/>
                <c:pt idx="0">
                  <c:v>0.1111111111111111</c:v>
                </c:pt>
                <c:pt idx="1">
                  <c:v>0.19444444444444445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0-474A-A3DE-D19792FF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515920"/>
        <c:axId val="2115351664"/>
      </c:barChart>
      <c:catAx>
        <c:axId val="211551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51664"/>
        <c:crosses val="autoZero"/>
        <c:auto val="1"/>
        <c:lblAlgn val="ctr"/>
        <c:lblOffset val="100"/>
        <c:noMultiLvlLbl val="0"/>
      </c:catAx>
      <c:valAx>
        <c:axId val="21153516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07252325921433E-2"/>
          <c:y val="9.9880445922420041E-2"/>
          <c:w val="0.93982293753858481"/>
          <c:h val="0.73488526063344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Summary!$A$12:$A$17</c:f>
              <c:strCache>
                <c:ptCount val="6"/>
                <c:pt idx="0">
                  <c:v>New Product Integration</c:v>
                </c:pt>
                <c:pt idx="1">
                  <c:v>New Technical Integration</c:v>
                </c:pt>
                <c:pt idx="2">
                  <c:v>New Interoperability Capability</c:v>
                </c:pt>
                <c:pt idx="3">
                  <c:v>New Feature Introduction</c:v>
                </c:pt>
                <c:pt idx="4">
                  <c:v>New Function Introduction</c:v>
                </c:pt>
                <c:pt idx="5">
                  <c:v>Sustaining</c:v>
                </c:pt>
              </c:strCache>
            </c:strRef>
          </c:cat>
          <c:val>
            <c:numRef>
              <c:f>Summary!$B$12:$B$17</c:f>
              <c:numCache>
                <c:formatCode>0%</c:formatCode>
                <c:ptCount val="6"/>
                <c:pt idx="0">
                  <c:v>2.7777777777777776E-2</c:v>
                </c:pt>
                <c:pt idx="1">
                  <c:v>5.5555555555555552E-2</c:v>
                </c:pt>
                <c:pt idx="2">
                  <c:v>0</c:v>
                </c:pt>
                <c:pt idx="3">
                  <c:v>0.66666666666666663</c:v>
                </c:pt>
                <c:pt idx="4">
                  <c:v>0.25</c:v>
                </c:pt>
                <c:pt idx="5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E-EB4F-B86C-F83D45E5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731632"/>
        <c:axId val="2094210976"/>
      </c:barChart>
      <c:catAx>
        <c:axId val="2138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10976"/>
        <c:crosses val="autoZero"/>
        <c:auto val="1"/>
        <c:lblAlgn val="ctr"/>
        <c:lblOffset val="100"/>
        <c:noMultiLvlLbl val="0"/>
      </c:catAx>
      <c:valAx>
        <c:axId val="20942109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26459</xdr:colOff>
      <xdr:row>0</xdr:row>
      <xdr:rowOff>51859</xdr:rowOff>
    </xdr:from>
    <xdr:to>
      <xdr:col>24</xdr:col>
      <xdr:colOff>116417</xdr:colOff>
      <xdr:row>26</xdr:row>
      <xdr:rowOff>10583</xdr:rowOff>
    </xdr:to>
    <xdr:graphicFrame macro="">
      <xdr:nvGraphicFramePr>
        <xdr:cNvPr id="108" name="Chart 3">
          <a:extLst>
            <a:ext uri="{FF2B5EF4-FFF2-40B4-BE49-F238E27FC236}">
              <a16:creationId xmlns:a16="http://schemas.microsoft.com/office/drawing/2014/main" id="{64224884-E12E-9960-28E3-CE6338E3A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756709</xdr:colOff>
      <xdr:row>26</xdr:row>
      <xdr:rowOff>83607</xdr:rowOff>
    </xdr:from>
    <xdr:to>
      <xdr:col>16</xdr:col>
      <xdr:colOff>751417</xdr:colOff>
      <xdr:row>57</xdr:row>
      <xdr:rowOff>179916</xdr:rowOff>
    </xdr:to>
    <xdr:graphicFrame macro="">
      <xdr:nvGraphicFramePr>
        <xdr:cNvPr id="112" name="Chart 4">
          <a:extLst>
            <a:ext uri="{FF2B5EF4-FFF2-40B4-BE49-F238E27FC236}">
              <a16:creationId xmlns:a16="http://schemas.microsoft.com/office/drawing/2014/main" id="{219CB440-221A-BDA7-0229-89270090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756708</xdr:colOff>
      <xdr:row>0</xdr:row>
      <xdr:rowOff>41276</xdr:rowOff>
    </xdr:from>
    <xdr:to>
      <xdr:col>16</xdr:col>
      <xdr:colOff>740833</xdr:colOff>
      <xdr:row>26</xdr:row>
      <xdr:rowOff>31750</xdr:rowOff>
    </xdr:to>
    <xdr:graphicFrame macro="">
      <xdr:nvGraphicFramePr>
        <xdr:cNvPr id="113" name="Chart 5">
          <a:extLst>
            <a:ext uri="{FF2B5EF4-FFF2-40B4-BE49-F238E27FC236}">
              <a16:creationId xmlns:a16="http://schemas.microsoft.com/office/drawing/2014/main" id="{613860F1-B72A-5A7F-151E-0BB4A7655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21AB-740E-CC47-8EB7-85609C54D77A}">
  <dimension ref="A1:B17"/>
  <sheetViews>
    <sheetView topLeftCell="A20" workbookViewId="0">
      <selection activeCell="B27" sqref="B27"/>
    </sheetView>
  </sheetViews>
  <sheetFormatPr baseColWidth="10" defaultRowHeight="15" x14ac:dyDescent="0.2"/>
  <cols>
    <col min="1" max="1" width="28.6640625" customWidth="1"/>
    <col min="2" max="2" width="24.5" customWidth="1"/>
  </cols>
  <sheetData>
    <row r="1" spans="1:2" ht="16" customHeight="1" x14ac:dyDescent="0.2">
      <c r="A1" s="33" t="s">
        <v>4</v>
      </c>
      <c r="B1" s="34"/>
    </row>
    <row r="2" spans="1:2" x14ac:dyDescent="0.2">
      <c r="A2" s="10" t="s">
        <v>7</v>
      </c>
      <c r="B2" s="20">
        <f>SkyportCare!D56</f>
        <v>0.72222222222222221</v>
      </c>
    </row>
    <row r="3" spans="1:2" x14ac:dyDescent="0.2">
      <c r="A3" s="10" t="s">
        <v>22</v>
      </c>
      <c r="B3" s="20">
        <f>SkyportCare!D57</f>
        <v>0.33333333333333331</v>
      </c>
    </row>
    <row r="4" spans="1:2" ht="16" customHeight="1" x14ac:dyDescent="0.2">
      <c r="A4" s="33" t="s">
        <v>18</v>
      </c>
      <c r="B4" s="34"/>
    </row>
    <row r="5" spans="1:2" x14ac:dyDescent="0.2">
      <c r="A5" s="14" t="s">
        <v>19</v>
      </c>
      <c r="B5" s="22">
        <f>SkyportCare!D49</f>
        <v>0.1111111111111111</v>
      </c>
    </row>
    <row r="6" spans="1:2" x14ac:dyDescent="0.2">
      <c r="A6" s="14" t="s">
        <v>20</v>
      </c>
      <c r="B6" s="22">
        <f>SkyportCare!D50</f>
        <v>0.19444444444444445</v>
      </c>
    </row>
    <row r="7" spans="1:2" x14ac:dyDescent="0.2">
      <c r="A7" s="14" t="s">
        <v>6</v>
      </c>
      <c r="B7" s="22">
        <f>SkyportCare!D51</f>
        <v>0.33333333333333331</v>
      </c>
    </row>
    <row r="8" spans="1:2" x14ac:dyDescent="0.2">
      <c r="A8" s="14" t="s">
        <v>17</v>
      </c>
      <c r="B8" s="22">
        <f>SkyportCare!D52</f>
        <v>0.25</v>
      </c>
    </row>
    <row r="9" spans="1:2" x14ac:dyDescent="0.2">
      <c r="A9" s="14" t="s">
        <v>21</v>
      </c>
      <c r="B9" s="22">
        <f>SkyportCare!D53</f>
        <v>0.16666666666666666</v>
      </c>
    </row>
    <row r="10" spans="1:2" x14ac:dyDescent="0.2">
      <c r="A10" s="5"/>
      <c r="B10" s="22"/>
    </row>
    <row r="11" spans="1:2" ht="16" customHeight="1" x14ac:dyDescent="0.2">
      <c r="A11" s="33" t="s">
        <v>2</v>
      </c>
      <c r="B11" s="34"/>
    </row>
    <row r="12" spans="1:2" ht="16" x14ac:dyDescent="0.2">
      <c r="A12" s="4" t="s">
        <v>8</v>
      </c>
      <c r="B12" s="22">
        <f>SkyportCare!E41</f>
        <v>2.7777777777777776E-2</v>
      </c>
    </row>
    <row r="13" spans="1:2" ht="16" x14ac:dyDescent="0.2">
      <c r="A13" s="4" t="s">
        <v>10</v>
      </c>
      <c r="B13" s="22">
        <f>SkyportCare!E42</f>
        <v>5.5555555555555552E-2</v>
      </c>
    </row>
    <row r="14" spans="1:2" ht="16" x14ac:dyDescent="0.2">
      <c r="A14" s="4" t="s">
        <v>11</v>
      </c>
      <c r="B14" s="22">
        <f>SkyportCare!E43</f>
        <v>0</v>
      </c>
    </row>
    <row r="15" spans="1:2" ht="16" x14ac:dyDescent="0.2">
      <c r="A15" s="4" t="s">
        <v>13</v>
      </c>
      <c r="B15" s="22">
        <f>SkyportCare!E44</f>
        <v>0.66666666666666663</v>
      </c>
    </row>
    <row r="16" spans="1:2" ht="16" x14ac:dyDescent="0.2">
      <c r="A16" s="4" t="s">
        <v>15</v>
      </c>
      <c r="B16" s="22">
        <f>SkyportCare!E45</f>
        <v>0.25</v>
      </c>
    </row>
    <row r="17" spans="1:2" ht="16" x14ac:dyDescent="0.2">
      <c r="A17" s="4" t="s">
        <v>16</v>
      </c>
      <c r="B17" s="22">
        <f>SkyportCare!E46</f>
        <v>5.5555555555555552E-2</v>
      </c>
    </row>
  </sheetData>
  <mergeCells count="3">
    <mergeCell ref="A1:B1"/>
    <mergeCell ref="A4:B4"/>
    <mergeCell ref="A11:B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2D9C-A4B6-774F-B8A7-9331E3148EF8}">
  <dimension ref="A1:H57"/>
  <sheetViews>
    <sheetView tabSelected="1" zoomScale="140" zoomScaleNormal="140" workbookViewId="0">
      <selection activeCell="F7" sqref="F7"/>
    </sheetView>
  </sheetViews>
  <sheetFormatPr baseColWidth="10" defaultColWidth="8.83203125" defaultRowHeight="15" x14ac:dyDescent="0.2"/>
  <cols>
    <col min="1" max="1" width="21.1640625" style="1" customWidth="1"/>
    <col min="2" max="2" width="65.83203125" style="1" customWidth="1"/>
    <col min="3" max="3" width="31.6640625" style="11" customWidth="1"/>
    <col min="4" max="4" width="27.83203125" style="1" customWidth="1"/>
    <col min="5" max="6" width="13.33203125" style="11" customWidth="1"/>
    <col min="8" max="8" width="22.6640625" customWidth="1"/>
    <col min="9" max="9" width="32.5" customWidth="1"/>
  </cols>
  <sheetData>
    <row r="1" spans="1:8" s="2" customFormat="1" ht="32" x14ac:dyDescent="0.2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80</v>
      </c>
      <c r="G1" s="3" t="s">
        <v>69</v>
      </c>
      <c r="H1" s="9" t="s">
        <v>70</v>
      </c>
    </row>
    <row r="2" spans="1:8" ht="17" customHeight="1" x14ac:dyDescent="0.2">
      <c r="A2" s="35" t="s">
        <v>37</v>
      </c>
      <c r="B2" s="23" t="s">
        <v>26</v>
      </c>
      <c r="C2" s="7" t="s">
        <v>13</v>
      </c>
      <c r="D2" s="7" t="s">
        <v>6</v>
      </c>
      <c r="E2" s="10" t="s">
        <v>7</v>
      </c>
      <c r="F2" s="28" t="s">
        <v>82</v>
      </c>
      <c r="G2" s="5">
        <v>1</v>
      </c>
      <c r="H2" s="5" t="s">
        <v>74</v>
      </c>
    </row>
    <row r="3" spans="1:8" ht="16" x14ac:dyDescent="0.2">
      <c r="A3" s="36"/>
      <c r="B3" s="23" t="s">
        <v>25</v>
      </c>
      <c r="C3" s="7" t="s">
        <v>13</v>
      </c>
      <c r="D3" s="7" t="s">
        <v>20</v>
      </c>
      <c r="E3" s="10" t="s">
        <v>7</v>
      </c>
      <c r="F3" s="28" t="s">
        <v>81</v>
      </c>
      <c r="G3" s="5">
        <v>1</v>
      </c>
      <c r="H3" s="5" t="s">
        <v>74</v>
      </c>
    </row>
    <row r="4" spans="1:8" ht="16" x14ac:dyDescent="0.2">
      <c r="A4" s="36"/>
      <c r="B4" s="23" t="s">
        <v>28</v>
      </c>
      <c r="C4" s="7" t="s">
        <v>13</v>
      </c>
      <c r="D4" s="7" t="s">
        <v>20</v>
      </c>
      <c r="E4" s="10" t="s">
        <v>7</v>
      </c>
      <c r="F4" s="28" t="s">
        <v>81</v>
      </c>
      <c r="G4" s="5">
        <v>1</v>
      </c>
      <c r="H4" s="5" t="s">
        <v>74</v>
      </c>
    </row>
    <row r="5" spans="1:8" ht="16" x14ac:dyDescent="0.2">
      <c r="A5" s="36"/>
      <c r="B5" s="23" t="s">
        <v>29</v>
      </c>
      <c r="C5" s="7" t="s">
        <v>13</v>
      </c>
      <c r="D5" s="7" t="s">
        <v>6</v>
      </c>
      <c r="E5" s="10" t="s">
        <v>7</v>
      </c>
      <c r="F5" s="28" t="s">
        <v>81</v>
      </c>
      <c r="G5" s="5">
        <v>1</v>
      </c>
      <c r="H5" s="5" t="s">
        <v>74</v>
      </c>
    </row>
    <row r="6" spans="1:8" ht="16" x14ac:dyDescent="0.2">
      <c r="A6" s="36"/>
      <c r="B6" s="23" t="s">
        <v>66</v>
      </c>
      <c r="C6" s="7" t="s">
        <v>13</v>
      </c>
      <c r="D6" s="7" t="s">
        <v>21</v>
      </c>
      <c r="E6" s="28" t="s">
        <v>22</v>
      </c>
      <c r="F6" s="28" t="s">
        <v>82</v>
      </c>
      <c r="G6" s="5">
        <v>1</v>
      </c>
      <c r="H6" s="5" t="s">
        <v>75</v>
      </c>
    </row>
    <row r="7" spans="1:8" ht="16" x14ac:dyDescent="0.2">
      <c r="A7" s="36"/>
      <c r="B7" s="6" t="s">
        <v>87</v>
      </c>
      <c r="C7" s="7" t="s">
        <v>13</v>
      </c>
      <c r="D7" s="7" t="s">
        <v>21</v>
      </c>
      <c r="E7" s="10" t="s">
        <v>7</v>
      </c>
      <c r="F7" s="28" t="s">
        <v>82</v>
      </c>
      <c r="G7" s="5">
        <v>1</v>
      </c>
      <c r="H7" s="5" t="s">
        <v>75</v>
      </c>
    </row>
    <row r="8" spans="1:8" ht="16" x14ac:dyDescent="0.2">
      <c r="A8" s="36"/>
      <c r="B8" s="23" t="s">
        <v>30</v>
      </c>
      <c r="C8" s="7" t="s">
        <v>13</v>
      </c>
      <c r="D8" s="7" t="s">
        <v>21</v>
      </c>
      <c r="E8" s="10" t="s">
        <v>7</v>
      </c>
      <c r="F8" s="28" t="s">
        <v>82</v>
      </c>
      <c r="G8" s="5">
        <v>2</v>
      </c>
      <c r="H8" s="5" t="s">
        <v>74</v>
      </c>
    </row>
    <row r="9" spans="1:8" ht="16" x14ac:dyDescent="0.2">
      <c r="A9" s="37"/>
      <c r="B9" s="23" t="s">
        <v>31</v>
      </c>
      <c r="C9" s="7" t="s">
        <v>13</v>
      </c>
      <c r="D9" s="7" t="s">
        <v>20</v>
      </c>
      <c r="E9" s="10" t="s">
        <v>7</v>
      </c>
      <c r="F9" s="28" t="s">
        <v>82</v>
      </c>
      <c r="G9" s="5">
        <v>1</v>
      </c>
      <c r="H9" s="5" t="s">
        <v>74</v>
      </c>
    </row>
    <row r="10" spans="1:8" ht="16" x14ac:dyDescent="0.2">
      <c r="A10" s="39" t="s">
        <v>48</v>
      </c>
      <c r="B10" s="23" t="s">
        <v>32</v>
      </c>
      <c r="C10" s="7" t="s">
        <v>13</v>
      </c>
      <c r="D10" s="7" t="s">
        <v>6</v>
      </c>
      <c r="E10" s="10" t="s">
        <v>7</v>
      </c>
      <c r="F10" s="28" t="s">
        <v>82</v>
      </c>
      <c r="G10" s="5">
        <v>1</v>
      </c>
      <c r="H10" s="5" t="s">
        <v>74</v>
      </c>
    </row>
    <row r="11" spans="1:8" ht="16" x14ac:dyDescent="0.2">
      <c r="A11" s="39"/>
      <c r="B11" s="23" t="s">
        <v>33</v>
      </c>
      <c r="C11" s="7" t="s">
        <v>13</v>
      </c>
      <c r="D11" s="7" t="s">
        <v>6</v>
      </c>
      <c r="E11" s="10" t="s">
        <v>7</v>
      </c>
      <c r="F11" s="28" t="s">
        <v>82</v>
      </c>
      <c r="G11" s="5">
        <v>1</v>
      </c>
      <c r="H11" s="5" t="s">
        <v>74</v>
      </c>
    </row>
    <row r="12" spans="1:8" ht="20" customHeight="1" x14ac:dyDescent="0.2">
      <c r="A12" s="39"/>
      <c r="B12" s="6" t="s">
        <v>59</v>
      </c>
      <c r="C12" s="7" t="s">
        <v>15</v>
      </c>
      <c r="D12" s="7" t="s">
        <v>17</v>
      </c>
      <c r="E12" s="28" t="s">
        <v>22</v>
      </c>
      <c r="F12" s="28" t="s">
        <v>83</v>
      </c>
      <c r="G12" s="5">
        <v>3</v>
      </c>
      <c r="H12" s="5" t="s">
        <v>76</v>
      </c>
    </row>
    <row r="13" spans="1:8" ht="20" customHeight="1" x14ac:dyDescent="0.2">
      <c r="A13" s="39"/>
      <c r="B13" s="6" t="s">
        <v>89</v>
      </c>
      <c r="C13" s="7" t="s">
        <v>13</v>
      </c>
      <c r="D13" s="7" t="s">
        <v>6</v>
      </c>
      <c r="E13" s="10" t="s">
        <v>7</v>
      </c>
      <c r="F13" s="28" t="s">
        <v>84</v>
      </c>
      <c r="G13" s="5">
        <v>2</v>
      </c>
      <c r="H13" s="5" t="s">
        <v>75</v>
      </c>
    </row>
    <row r="14" spans="1:8" ht="16" x14ac:dyDescent="0.2">
      <c r="A14" s="39"/>
      <c r="B14" s="6" t="s">
        <v>58</v>
      </c>
      <c r="C14" s="7" t="s">
        <v>15</v>
      </c>
      <c r="D14" s="7" t="s">
        <v>17</v>
      </c>
      <c r="E14" s="28" t="s">
        <v>22</v>
      </c>
      <c r="F14" s="28" t="s">
        <v>83</v>
      </c>
      <c r="G14" s="5">
        <v>3</v>
      </c>
      <c r="H14" s="5" t="s">
        <v>76</v>
      </c>
    </row>
    <row r="15" spans="1:8" ht="15" customHeight="1" x14ac:dyDescent="0.2">
      <c r="A15" s="35" t="s">
        <v>40</v>
      </c>
      <c r="B15" s="23" t="s">
        <v>27</v>
      </c>
      <c r="C15" s="7" t="s">
        <v>13</v>
      </c>
      <c r="D15" s="7" t="s">
        <v>6</v>
      </c>
      <c r="E15" s="10" t="s">
        <v>7</v>
      </c>
      <c r="F15" s="28" t="s">
        <v>82</v>
      </c>
      <c r="G15" s="5">
        <v>1</v>
      </c>
      <c r="H15" s="5" t="s">
        <v>75</v>
      </c>
    </row>
    <row r="16" spans="1:8" ht="15" customHeight="1" x14ac:dyDescent="0.2">
      <c r="A16" s="36"/>
      <c r="B16" s="6" t="s">
        <v>67</v>
      </c>
      <c r="C16" s="7" t="s">
        <v>13</v>
      </c>
      <c r="D16" s="7" t="s">
        <v>6</v>
      </c>
      <c r="E16" s="10" t="s">
        <v>7</v>
      </c>
      <c r="F16" s="28" t="s">
        <v>84</v>
      </c>
      <c r="G16" s="5">
        <v>2</v>
      </c>
      <c r="H16" s="5" t="s">
        <v>75</v>
      </c>
    </row>
    <row r="17" spans="1:8" ht="15" customHeight="1" x14ac:dyDescent="0.2">
      <c r="A17" s="36"/>
      <c r="B17" s="6" t="s">
        <v>49</v>
      </c>
      <c r="C17" s="7" t="s">
        <v>10</v>
      </c>
      <c r="D17" s="7" t="s">
        <v>19</v>
      </c>
      <c r="E17" s="10" t="s">
        <v>7</v>
      </c>
      <c r="F17" s="28" t="s">
        <v>83</v>
      </c>
      <c r="G17" s="5">
        <v>2</v>
      </c>
      <c r="H17" s="5" t="s">
        <v>75</v>
      </c>
    </row>
    <row r="18" spans="1:8" ht="15" customHeight="1" x14ac:dyDescent="0.2">
      <c r="A18" s="37"/>
      <c r="B18" s="6" t="s">
        <v>50</v>
      </c>
      <c r="C18" s="7" t="s">
        <v>13</v>
      </c>
      <c r="D18" s="7" t="s">
        <v>6</v>
      </c>
      <c r="E18" s="10" t="s">
        <v>7</v>
      </c>
      <c r="F18" s="28" t="s">
        <v>83</v>
      </c>
      <c r="G18" s="5">
        <v>2</v>
      </c>
      <c r="H18" s="5" t="s">
        <v>75</v>
      </c>
    </row>
    <row r="19" spans="1:8" ht="31" customHeight="1" x14ac:dyDescent="0.2">
      <c r="A19" s="39" t="s">
        <v>34</v>
      </c>
      <c r="B19" s="6" t="s">
        <v>38</v>
      </c>
      <c r="C19" s="7" t="s">
        <v>13</v>
      </c>
      <c r="D19" s="7" t="s">
        <v>19</v>
      </c>
      <c r="E19" s="10" t="s">
        <v>7</v>
      </c>
      <c r="F19" s="28" t="s">
        <v>84</v>
      </c>
      <c r="G19" s="5">
        <v>2</v>
      </c>
      <c r="H19" s="5" t="s">
        <v>75</v>
      </c>
    </row>
    <row r="20" spans="1:8" ht="19" customHeight="1" x14ac:dyDescent="0.2">
      <c r="A20" s="39"/>
      <c r="B20" s="6" t="s">
        <v>35</v>
      </c>
      <c r="C20" s="7" t="s">
        <v>13</v>
      </c>
      <c r="D20" s="7" t="s">
        <v>19</v>
      </c>
      <c r="E20" s="10" t="s">
        <v>7</v>
      </c>
      <c r="F20" s="28" t="s">
        <v>84</v>
      </c>
      <c r="G20" s="5">
        <v>2</v>
      </c>
      <c r="H20" s="5" t="s">
        <v>75</v>
      </c>
    </row>
    <row r="21" spans="1:8" ht="19" customHeight="1" x14ac:dyDescent="0.2">
      <c r="A21" s="39"/>
      <c r="B21" s="6" t="s">
        <v>88</v>
      </c>
      <c r="C21" s="7" t="s">
        <v>15</v>
      </c>
      <c r="D21" s="7" t="s">
        <v>17</v>
      </c>
      <c r="E21" s="28" t="s">
        <v>22</v>
      </c>
      <c r="F21" s="28" t="s">
        <v>83</v>
      </c>
      <c r="G21" s="5">
        <v>3</v>
      </c>
      <c r="H21" s="5" t="s">
        <v>76</v>
      </c>
    </row>
    <row r="22" spans="1:8" ht="16" x14ac:dyDescent="0.2">
      <c r="A22" s="39"/>
      <c r="B22" s="6" t="s">
        <v>36</v>
      </c>
      <c r="C22" s="7" t="s">
        <v>15</v>
      </c>
      <c r="D22" s="7" t="s">
        <v>19</v>
      </c>
      <c r="E22" s="10" t="s">
        <v>22</v>
      </c>
      <c r="F22" s="28" t="s">
        <v>84</v>
      </c>
      <c r="G22" s="5">
        <v>2</v>
      </c>
      <c r="H22" s="5" t="s">
        <v>75</v>
      </c>
    </row>
    <row r="23" spans="1:8" ht="16" x14ac:dyDescent="0.2">
      <c r="A23" s="39"/>
      <c r="B23" s="23" t="s">
        <v>39</v>
      </c>
      <c r="C23" s="7" t="s">
        <v>13</v>
      </c>
      <c r="D23" s="7" t="s">
        <v>17</v>
      </c>
      <c r="E23" s="10" t="s">
        <v>7</v>
      </c>
      <c r="F23" s="28" t="s">
        <v>81</v>
      </c>
      <c r="G23" s="5">
        <v>1</v>
      </c>
      <c r="H23" s="5" t="s">
        <v>75</v>
      </c>
    </row>
    <row r="24" spans="1:8" ht="16" x14ac:dyDescent="0.2">
      <c r="A24" s="35" t="s">
        <v>41</v>
      </c>
      <c r="B24" s="6" t="s">
        <v>68</v>
      </c>
      <c r="C24" s="4" t="s">
        <v>8</v>
      </c>
      <c r="D24" s="7" t="s">
        <v>20</v>
      </c>
      <c r="E24" s="10" t="s">
        <v>7</v>
      </c>
      <c r="F24" s="28" t="s">
        <v>85</v>
      </c>
      <c r="G24" s="5">
        <v>2</v>
      </c>
      <c r="H24" s="5" t="s">
        <v>75</v>
      </c>
    </row>
    <row r="25" spans="1:8" ht="99" customHeight="1" x14ac:dyDescent="0.2">
      <c r="A25" s="36"/>
      <c r="B25" s="6" t="s">
        <v>44</v>
      </c>
      <c r="C25" s="7" t="s">
        <v>13</v>
      </c>
      <c r="D25" s="7" t="s">
        <v>6</v>
      </c>
      <c r="E25" s="10" t="s">
        <v>7</v>
      </c>
      <c r="F25" s="28" t="s">
        <v>84</v>
      </c>
      <c r="G25" s="5">
        <v>2</v>
      </c>
      <c r="H25" s="5" t="s">
        <v>75</v>
      </c>
    </row>
    <row r="26" spans="1:8" ht="186" customHeight="1" x14ac:dyDescent="0.2">
      <c r="A26" s="36"/>
      <c r="B26" s="6" t="s">
        <v>43</v>
      </c>
      <c r="C26" s="7" t="s">
        <v>13</v>
      </c>
      <c r="D26" s="7" t="s">
        <v>17</v>
      </c>
      <c r="E26" s="10" t="s">
        <v>7</v>
      </c>
      <c r="F26" s="28" t="s">
        <v>84</v>
      </c>
      <c r="G26" s="5">
        <v>2</v>
      </c>
      <c r="H26" s="5" t="s">
        <v>75</v>
      </c>
    </row>
    <row r="27" spans="1:8" ht="409" customHeight="1" x14ac:dyDescent="0.2">
      <c r="A27" s="37"/>
      <c r="B27" s="6" t="s">
        <v>51</v>
      </c>
      <c r="C27" s="7" t="s">
        <v>13</v>
      </c>
      <c r="D27" s="7" t="s">
        <v>17</v>
      </c>
      <c r="E27" s="10" t="s">
        <v>7</v>
      </c>
      <c r="F27" s="28" t="s">
        <v>84</v>
      </c>
      <c r="G27" s="5">
        <v>2</v>
      </c>
      <c r="H27" s="5" t="s">
        <v>75</v>
      </c>
    </row>
    <row r="28" spans="1:8" ht="16" x14ac:dyDescent="0.2">
      <c r="A28" s="39" t="s">
        <v>42</v>
      </c>
      <c r="B28" s="6" t="s">
        <v>55</v>
      </c>
      <c r="C28" s="7" t="s">
        <v>13</v>
      </c>
      <c r="D28" s="7" t="s">
        <v>20</v>
      </c>
      <c r="E28" s="10" t="s">
        <v>7</v>
      </c>
      <c r="F28" s="28" t="s">
        <v>85</v>
      </c>
      <c r="G28" s="5">
        <v>2</v>
      </c>
      <c r="H28" s="5" t="s">
        <v>75</v>
      </c>
    </row>
    <row r="29" spans="1:8" ht="16" x14ac:dyDescent="0.2">
      <c r="A29" s="39"/>
      <c r="B29" s="6" t="s">
        <v>52</v>
      </c>
      <c r="C29" s="7" t="s">
        <v>15</v>
      </c>
      <c r="D29" s="7" t="s">
        <v>6</v>
      </c>
      <c r="E29" s="10" t="s">
        <v>7</v>
      </c>
      <c r="F29" s="28" t="s">
        <v>85</v>
      </c>
      <c r="G29" s="5">
        <v>2</v>
      </c>
      <c r="H29" s="5" t="s">
        <v>75</v>
      </c>
    </row>
    <row r="30" spans="1:8" ht="16" x14ac:dyDescent="0.2">
      <c r="A30" s="39"/>
      <c r="B30" s="6" t="s">
        <v>53</v>
      </c>
      <c r="C30" s="7" t="s">
        <v>15</v>
      </c>
      <c r="D30" s="7" t="s">
        <v>20</v>
      </c>
      <c r="E30" s="28" t="s">
        <v>22</v>
      </c>
      <c r="F30" s="28" t="s">
        <v>85</v>
      </c>
      <c r="G30" s="5">
        <v>2</v>
      </c>
      <c r="H30" s="5" t="s">
        <v>75</v>
      </c>
    </row>
    <row r="31" spans="1:8" ht="16" x14ac:dyDescent="0.2">
      <c r="A31" s="39"/>
      <c r="B31" s="6" t="s">
        <v>54</v>
      </c>
      <c r="C31" s="7" t="s">
        <v>13</v>
      </c>
      <c r="D31" s="7" t="s">
        <v>20</v>
      </c>
      <c r="E31" s="10" t="s">
        <v>7</v>
      </c>
      <c r="F31" s="28" t="s">
        <v>85</v>
      </c>
      <c r="G31" s="5">
        <v>2</v>
      </c>
      <c r="H31" s="5" t="s">
        <v>75</v>
      </c>
    </row>
    <row r="32" spans="1:8" ht="16" x14ac:dyDescent="0.2">
      <c r="A32" s="39" t="s">
        <v>56</v>
      </c>
      <c r="B32" s="6" t="s">
        <v>60</v>
      </c>
      <c r="C32" s="7" t="s">
        <v>13</v>
      </c>
      <c r="D32" s="7" t="s">
        <v>17</v>
      </c>
      <c r="E32" s="28" t="s">
        <v>22</v>
      </c>
      <c r="F32" s="28" t="s">
        <v>83</v>
      </c>
      <c r="G32" s="5">
        <v>3</v>
      </c>
      <c r="H32" s="5" t="s">
        <v>76</v>
      </c>
    </row>
    <row r="33" spans="1:8" ht="16" x14ac:dyDescent="0.2">
      <c r="A33" s="39"/>
      <c r="B33" s="6" t="s">
        <v>61</v>
      </c>
      <c r="C33" s="7" t="s">
        <v>10</v>
      </c>
      <c r="D33" s="7" t="s">
        <v>17</v>
      </c>
      <c r="E33" s="28" t="s">
        <v>22</v>
      </c>
      <c r="F33" s="28" t="s">
        <v>83</v>
      </c>
      <c r="G33" s="5">
        <v>3</v>
      </c>
      <c r="H33" s="5" t="s">
        <v>76</v>
      </c>
    </row>
    <row r="34" spans="1:8" ht="16" x14ac:dyDescent="0.2">
      <c r="A34" s="39"/>
      <c r="B34" s="6" t="s">
        <v>62</v>
      </c>
      <c r="C34" s="7" t="s">
        <v>13</v>
      </c>
      <c r="D34" s="7" t="s">
        <v>17</v>
      </c>
      <c r="E34" s="28" t="s">
        <v>22</v>
      </c>
      <c r="F34" s="28" t="s">
        <v>83</v>
      </c>
      <c r="G34" s="5">
        <v>3</v>
      </c>
      <c r="H34" s="5" t="s">
        <v>76</v>
      </c>
    </row>
    <row r="35" spans="1:8" ht="16" customHeight="1" x14ac:dyDescent="0.2">
      <c r="A35" s="39" t="s">
        <v>57</v>
      </c>
      <c r="B35" s="6" t="s">
        <v>45</v>
      </c>
      <c r="C35" s="7" t="s">
        <v>15</v>
      </c>
      <c r="D35" s="7" t="s">
        <v>21</v>
      </c>
      <c r="E35" s="10" t="s">
        <v>22</v>
      </c>
      <c r="F35" s="28" t="s">
        <v>83</v>
      </c>
      <c r="G35" s="5">
        <v>2</v>
      </c>
      <c r="H35" s="5" t="s">
        <v>75</v>
      </c>
    </row>
    <row r="36" spans="1:8" ht="16" x14ac:dyDescent="0.2">
      <c r="A36" s="39"/>
      <c r="B36" s="6" t="s">
        <v>46</v>
      </c>
      <c r="C36" s="7" t="s">
        <v>15</v>
      </c>
      <c r="D36" s="7" t="s">
        <v>21</v>
      </c>
      <c r="E36" s="10" t="s">
        <v>22</v>
      </c>
      <c r="F36" s="28" t="s">
        <v>83</v>
      </c>
      <c r="G36" s="5">
        <v>2</v>
      </c>
      <c r="H36" s="5" t="s">
        <v>75</v>
      </c>
    </row>
    <row r="37" spans="1:8" ht="16" x14ac:dyDescent="0.2">
      <c r="A37" s="39"/>
      <c r="B37" s="6" t="s">
        <v>47</v>
      </c>
      <c r="C37" s="7" t="s">
        <v>15</v>
      </c>
      <c r="D37" s="7" t="s">
        <v>21</v>
      </c>
      <c r="E37" s="10" t="s">
        <v>22</v>
      </c>
      <c r="F37" s="28" t="s">
        <v>83</v>
      </c>
      <c r="G37" s="5">
        <v>3</v>
      </c>
      <c r="H37" s="5" t="s">
        <v>76</v>
      </c>
    </row>
    <row r="38" spans="1:8" ht="16" x14ac:dyDescent="0.2">
      <c r="A38" s="38" t="s">
        <v>65</v>
      </c>
      <c r="B38" s="27" t="s">
        <v>63</v>
      </c>
      <c r="C38" s="5" t="s">
        <v>16</v>
      </c>
      <c r="D38" s="7" t="s">
        <v>6</v>
      </c>
      <c r="E38" s="10" t="s">
        <v>7</v>
      </c>
      <c r="F38" s="10" t="s">
        <v>86</v>
      </c>
      <c r="G38" s="5">
        <v>1</v>
      </c>
      <c r="H38" s="5" t="s">
        <v>74</v>
      </c>
    </row>
    <row r="39" spans="1:8" ht="16" x14ac:dyDescent="0.2">
      <c r="A39" s="38"/>
      <c r="B39" s="27" t="s">
        <v>64</v>
      </c>
      <c r="C39" s="5" t="s">
        <v>16</v>
      </c>
      <c r="D39" s="7" t="s">
        <v>6</v>
      </c>
      <c r="E39" s="10" t="s">
        <v>7</v>
      </c>
      <c r="F39" s="10" t="s">
        <v>86</v>
      </c>
      <c r="G39" s="5">
        <v>1</v>
      </c>
      <c r="H39" s="5" t="s">
        <v>75</v>
      </c>
    </row>
    <row r="40" spans="1:8" ht="16" x14ac:dyDescent="0.2">
      <c r="B40" s="24" t="s">
        <v>2</v>
      </c>
      <c r="C40" s="24" t="s">
        <v>5</v>
      </c>
      <c r="D40" s="25" t="s">
        <v>23</v>
      </c>
      <c r="E40" s="26" t="s">
        <v>24</v>
      </c>
      <c r="F40" s="31"/>
    </row>
    <row r="41" spans="1:8" ht="16" x14ac:dyDescent="0.2">
      <c r="B41" s="4" t="s">
        <v>8</v>
      </c>
      <c r="C41" s="15" t="s">
        <v>9</v>
      </c>
      <c r="D41" s="5">
        <f>COUNTIF(C2:C39,"New Product Integration")</f>
        <v>1</v>
      </c>
      <c r="E41" s="21">
        <f t="shared" ref="E41:E46" si="0">D41/36</f>
        <v>2.7777777777777776E-2</v>
      </c>
      <c r="F41" s="32"/>
    </row>
    <row r="42" spans="1:8" ht="16" x14ac:dyDescent="0.2">
      <c r="B42" s="4" t="s">
        <v>10</v>
      </c>
      <c r="C42" s="15" t="s">
        <v>9</v>
      </c>
      <c r="D42" s="5">
        <f>COUNTIF(C2:C39,"New Technical Integration")</f>
        <v>2</v>
      </c>
      <c r="E42" s="21">
        <f t="shared" si="0"/>
        <v>5.5555555555555552E-2</v>
      </c>
      <c r="F42" s="32"/>
    </row>
    <row r="43" spans="1:8" ht="16" x14ac:dyDescent="0.2">
      <c r="B43" s="4" t="s">
        <v>11</v>
      </c>
      <c r="C43" s="14" t="s">
        <v>12</v>
      </c>
      <c r="D43" s="5">
        <f>COUNTIF(C2:C39,"New Interoperability Capability")</f>
        <v>0</v>
      </c>
      <c r="E43" s="21">
        <f t="shared" si="0"/>
        <v>0</v>
      </c>
      <c r="F43" s="32"/>
    </row>
    <row r="44" spans="1:8" ht="16" x14ac:dyDescent="0.2">
      <c r="B44" s="4" t="s">
        <v>13</v>
      </c>
      <c r="C44" s="16" t="s">
        <v>14</v>
      </c>
      <c r="D44" s="5">
        <f>COUNTIF(C2:C39,"New Feature Introduction")</f>
        <v>24</v>
      </c>
      <c r="E44" s="21">
        <f t="shared" si="0"/>
        <v>0.66666666666666663</v>
      </c>
      <c r="F44" s="32"/>
    </row>
    <row r="45" spans="1:8" ht="16" x14ac:dyDescent="0.2">
      <c r="B45" s="4" t="s">
        <v>15</v>
      </c>
      <c r="C45" s="16" t="s">
        <v>14</v>
      </c>
      <c r="D45" s="5">
        <f>COUNTIF(C2:C39,"New Function Introduction")</f>
        <v>9</v>
      </c>
      <c r="E45" s="21">
        <f t="shared" si="0"/>
        <v>0.25</v>
      </c>
      <c r="F45" s="32"/>
    </row>
    <row r="46" spans="1:8" ht="16" x14ac:dyDescent="0.2">
      <c r="B46" s="4" t="s">
        <v>16</v>
      </c>
      <c r="C46" s="14" t="s">
        <v>12</v>
      </c>
      <c r="D46" s="5">
        <f>COUNTIF(C2:C39,"Sustaining")</f>
        <v>2</v>
      </c>
      <c r="E46" s="21">
        <f t="shared" si="0"/>
        <v>5.5555555555555552E-2</v>
      </c>
      <c r="F46" s="32"/>
    </row>
    <row r="48" spans="1:8" ht="16" x14ac:dyDescent="0.2">
      <c r="B48" s="3" t="s">
        <v>18</v>
      </c>
      <c r="C48" s="17" t="s">
        <v>23</v>
      </c>
      <c r="D48" s="13" t="s">
        <v>24</v>
      </c>
    </row>
    <row r="49" spans="1:4" x14ac:dyDescent="0.2">
      <c r="B49" s="14" t="s">
        <v>19</v>
      </c>
      <c r="C49" s="14">
        <f>COUNTIF(D2:D39,"Energy &amp; Sustainability")</f>
        <v>4</v>
      </c>
      <c r="D49" s="20">
        <f>C49/36</f>
        <v>0.1111111111111111</v>
      </c>
    </row>
    <row r="50" spans="1:4" x14ac:dyDescent="0.2">
      <c r="B50" s="14" t="s">
        <v>20</v>
      </c>
      <c r="C50" s="14">
        <f>COUNTIF(D2:D39,"Ease of Use &amp; Accessibility")</f>
        <v>7</v>
      </c>
      <c r="D50" s="20">
        <f>C50/36</f>
        <v>0.19444444444444445</v>
      </c>
    </row>
    <row r="51" spans="1:4" x14ac:dyDescent="0.2">
      <c r="B51" s="14" t="s">
        <v>6</v>
      </c>
      <c r="C51" s="14">
        <f>COUNTIF(D2:D39,"Trust, Security &amp; Reliability")</f>
        <v>12</v>
      </c>
      <c r="D51" s="20">
        <f>C51/36</f>
        <v>0.33333333333333331</v>
      </c>
    </row>
    <row r="52" spans="1:4" x14ac:dyDescent="0.2">
      <c r="B52" s="14" t="s">
        <v>17</v>
      </c>
      <c r="C52" s="14">
        <f>COUNTIF(D2:D39,"Intelligence &amp; Automation")</f>
        <v>9</v>
      </c>
      <c r="D52" s="20">
        <f>C52/36</f>
        <v>0.25</v>
      </c>
    </row>
    <row r="53" spans="1:4" x14ac:dyDescent="0.2">
      <c r="B53" s="14" t="s">
        <v>21</v>
      </c>
      <c r="C53" s="14">
        <f>COUNTIF(D2:D39,"Engagement &amp; Personalization")</f>
        <v>6</v>
      </c>
      <c r="D53" s="20">
        <f>C53/36</f>
        <v>0.16666666666666666</v>
      </c>
    </row>
    <row r="55" spans="1:4" ht="16" customHeight="1" x14ac:dyDescent="0.2">
      <c r="B55" s="12" t="s">
        <v>4</v>
      </c>
      <c r="C55" s="18" t="s">
        <v>23</v>
      </c>
      <c r="D55" s="13" t="s">
        <v>24</v>
      </c>
    </row>
    <row r="56" spans="1:4" s="11" customFormat="1" x14ac:dyDescent="0.2">
      <c r="A56" s="1"/>
      <c r="B56" s="10" t="s">
        <v>7</v>
      </c>
      <c r="C56" s="19">
        <f>COUNTIF(E2:E39,"Basic (Free)")</f>
        <v>26</v>
      </c>
      <c r="D56" s="20">
        <f>C56/36</f>
        <v>0.72222222222222221</v>
      </c>
    </row>
    <row r="57" spans="1:4" s="11" customFormat="1" x14ac:dyDescent="0.2">
      <c r="A57" s="1"/>
      <c r="B57" s="10" t="s">
        <v>22</v>
      </c>
      <c r="C57" s="14">
        <f>COUNTIF(E2:E39,"Paid")</f>
        <v>12</v>
      </c>
      <c r="D57" s="20">
        <f>C57/36</f>
        <v>0.33333333333333331</v>
      </c>
    </row>
  </sheetData>
  <mergeCells count="9">
    <mergeCell ref="A15:A18"/>
    <mergeCell ref="A2:A9"/>
    <mergeCell ref="A38:A39"/>
    <mergeCell ref="A32:A34"/>
    <mergeCell ref="A35:A37"/>
    <mergeCell ref="A10:A14"/>
    <mergeCell ref="A19:A23"/>
    <mergeCell ref="A28:A31"/>
    <mergeCell ref="A24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8AD7-26C6-DA47-BD7C-FC01A3D3BC53}">
  <dimension ref="A1:B10"/>
  <sheetViews>
    <sheetView workbookViewId="0">
      <selection activeCell="B45" sqref="B45"/>
    </sheetView>
  </sheetViews>
  <sheetFormatPr baseColWidth="10" defaultRowHeight="15" x14ac:dyDescent="0.2"/>
  <cols>
    <col min="1" max="1" width="16.6640625" customWidth="1"/>
    <col min="2" max="2" width="65.33203125" customWidth="1"/>
  </cols>
  <sheetData>
    <row r="1" spans="1:2" ht="16" x14ac:dyDescent="0.25">
      <c r="A1" s="40" t="s">
        <v>69</v>
      </c>
      <c r="B1" s="40"/>
    </row>
    <row r="2" spans="1:2" ht="18" customHeight="1" x14ac:dyDescent="0.2">
      <c r="A2" s="5">
        <v>1</v>
      </c>
      <c r="B2" s="29" t="s">
        <v>71</v>
      </c>
    </row>
    <row r="3" spans="1:2" ht="18" customHeight="1" x14ac:dyDescent="0.2">
      <c r="A3" s="5">
        <v>2</v>
      </c>
      <c r="B3" s="29" t="s">
        <v>72</v>
      </c>
    </row>
    <row r="4" spans="1:2" ht="17" customHeight="1" x14ac:dyDescent="0.2">
      <c r="A4" s="5">
        <v>3</v>
      </c>
      <c r="B4" s="29" t="s">
        <v>73</v>
      </c>
    </row>
    <row r="5" spans="1:2" x14ac:dyDescent="0.2">
      <c r="B5" s="1"/>
    </row>
    <row r="7" spans="1:2" ht="16" x14ac:dyDescent="0.25">
      <c r="A7" s="40" t="s">
        <v>70</v>
      </c>
      <c r="B7" s="40"/>
    </row>
    <row r="8" spans="1:2" ht="32" x14ac:dyDescent="0.2">
      <c r="A8" s="30" t="s">
        <v>74</v>
      </c>
      <c r="B8" s="27" t="s">
        <v>77</v>
      </c>
    </row>
    <row r="9" spans="1:2" ht="48" x14ac:dyDescent="0.2">
      <c r="A9" s="30" t="s">
        <v>75</v>
      </c>
      <c r="B9" s="27" t="s">
        <v>78</v>
      </c>
    </row>
    <row r="10" spans="1:2" ht="80" x14ac:dyDescent="0.2">
      <c r="A10" s="30" t="s">
        <v>76</v>
      </c>
      <c r="B10" s="27" t="s">
        <v>79</v>
      </c>
    </row>
  </sheetData>
  <mergeCells count="2"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SkyportCare</vt:lpstr>
      <vt:lpstr>Defintinions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Ganesan, Vish</cp:lastModifiedBy>
  <cp:revision/>
  <dcterms:created xsi:type="dcterms:W3CDTF">2026-02-19T23:40:32Z</dcterms:created>
  <dcterms:modified xsi:type="dcterms:W3CDTF">2026-04-15T16:03:30Z</dcterms:modified>
  <cp:category/>
  <cp:contentStatus/>
</cp:coreProperties>
</file>