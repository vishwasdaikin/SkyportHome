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Users/vishwas/Documents/DevelopmentProjects/Skyport-Web/"/>
    </mc:Choice>
  </mc:AlternateContent>
  <xr:revisionPtr revIDLastSave="0" documentId="13_ncr:1_{8B582EC6-B1DB-1649-9DDA-EA1C085766D4}" xr6:coauthVersionLast="47" xr6:coauthVersionMax="47" xr10:uidLastSave="{00000000-0000-0000-0000-000000000000}"/>
  <bookViews>
    <workbookView xWindow="23940" yWindow="1380" windowWidth="30240" windowHeight="18880" firstSheet="2" activeTab="3" xr2:uid="{564A4D30-3E13-E04F-96B0-B8BA94B7A041}"/>
  </bookViews>
  <sheets>
    <sheet name="OnBase Coding" sheetId="7" r:id="rId1"/>
    <sheet name="FY25 Total" sheetId="9" r:id="rId2"/>
    <sheet name="FY25_PB" sheetId="10" r:id="rId3"/>
    <sheet name="FY25" sheetId="5" r:id="rId4"/>
    <sheet name="FY24" sheetId="3" r:id="rId5"/>
    <sheet name="FY23" sheetId="2" r:id="rId6"/>
    <sheet name="FY22" sheetId="1" r:id="rId7"/>
    <sheet name="License Growth Graphed" sheetId="6" r:id="rId8"/>
    <sheet name="AWS Cost Graphed" sheetId="4" r:id="rId9"/>
    <sheet name="Data Explanation" sheetId="8"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10" l="1"/>
  <c r="B7" i="10"/>
  <c r="L7" i="10"/>
  <c r="K7" i="10"/>
  <c r="J7" i="10"/>
  <c r="I7" i="10"/>
  <c r="H7" i="10"/>
  <c r="G7" i="10"/>
  <c r="F7" i="10"/>
  <c r="E7" i="10"/>
  <c r="D7" i="10"/>
  <c r="C7" i="10"/>
  <c r="M18" i="10"/>
  <c r="G18" i="10"/>
  <c r="F18" i="10"/>
  <c r="E18" i="10"/>
  <c r="D18" i="10"/>
  <c r="C18" i="10"/>
  <c r="B18" i="10"/>
  <c r="L17" i="10"/>
  <c r="K17" i="10"/>
  <c r="J17" i="10"/>
  <c r="I17" i="10"/>
  <c r="H17" i="10"/>
  <c r="N11" i="10"/>
  <c r="M9" i="10"/>
  <c r="M13" i="10" s="1"/>
  <c r="M15" i="10" s="1"/>
  <c r="G9" i="10"/>
  <c r="G13" i="10" s="1"/>
  <c r="G15" i="10" s="1"/>
  <c r="F9" i="10"/>
  <c r="F13" i="10" s="1"/>
  <c r="F15" i="10" s="1"/>
  <c r="E9" i="10"/>
  <c r="E13" i="10" s="1"/>
  <c r="E15" i="10" s="1"/>
  <c r="D9" i="10"/>
  <c r="D13" i="10" s="1"/>
  <c r="D15" i="10" s="1"/>
  <c r="C9" i="10"/>
  <c r="C13" i="10" s="1"/>
  <c r="C15" i="10" s="1"/>
  <c r="B9" i="10"/>
  <c r="B13" i="10" s="1"/>
  <c r="L8" i="10"/>
  <c r="K8" i="10"/>
  <c r="J8" i="10"/>
  <c r="I8" i="10"/>
  <c r="H8" i="10"/>
  <c r="N4" i="10"/>
  <c r="B1" i="10"/>
  <c r="B5" i="10" s="1"/>
  <c r="L16" i="5"/>
  <c r="L7" i="5"/>
  <c r="I16" i="9"/>
  <c r="H16" i="9"/>
  <c r="G16" i="9"/>
  <c r="F16" i="9"/>
  <c r="E16" i="9"/>
  <c r="D16" i="9"/>
  <c r="I15" i="9"/>
  <c r="H15" i="9"/>
  <c r="G15" i="9"/>
  <c r="F15" i="9"/>
  <c r="E15" i="9"/>
  <c r="D15" i="9"/>
  <c r="N9" i="9"/>
  <c r="M9" i="9"/>
  <c r="K16" i="5"/>
  <c r="K7" i="5"/>
  <c r="L7" i="9" s="1"/>
  <c r="L9" i="9" s="1"/>
  <c r="J16" i="5"/>
  <c r="J7" i="5"/>
  <c r="K7" i="9" s="1"/>
  <c r="K9" i="9" s="1"/>
  <c r="I16" i="5"/>
  <c r="I7" i="5"/>
  <c r="J7" i="9" s="1"/>
  <c r="J9" i="9"/>
  <c r="N11" i="9"/>
  <c r="N12" i="9" s="1"/>
  <c r="M11" i="9"/>
  <c r="M12" i="9" s="1"/>
  <c r="L11" i="9"/>
  <c r="K11" i="9"/>
  <c r="J11" i="9"/>
  <c r="I11" i="9"/>
  <c r="I12" i="9" s="1"/>
  <c r="H11" i="9"/>
  <c r="H12" i="9" s="1"/>
  <c r="G11" i="9"/>
  <c r="G12" i="9" s="1"/>
  <c r="F11" i="9"/>
  <c r="F12" i="9" s="1"/>
  <c r="E11" i="9"/>
  <c r="E12" i="9" s="1"/>
  <c r="D11" i="9"/>
  <c r="D12" i="9" s="1"/>
  <c r="C11" i="9"/>
  <c r="C12" i="9" s="1"/>
  <c r="N10" i="9"/>
  <c r="M10" i="9"/>
  <c r="L10" i="9"/>
  <c r="K10" i="9"/>
  <c r="J10" i="9"/>
  <c r="I10" i="9"/>
  <c r="H10" i="9"/>
  <c r="G10" i="9"/>
  <c r="F10" i="9"/>
  <c r="E10" i="9"/>
  <c r="D10" i="9"/>
  <c r="C10" i="9"/>
  <c r="H9" i="9"/>
  <c r="G9" i="9"/>
  <c r="F9" i="9"/>
  <c r="E9" i="9"/>
  <c r="D9" i="9"/>
  <c r="C9" i="9"/>
  <c r="O8" i="9"/>
  <c r="B10" i="10" l="1"/>
  <c r="C5" i="10"/>
  <c r="H18" i="10"/>
  <c r="H9" i="10"/>
  <c r="H13" i="10" s="1"/>
  <c r="H15" i="10" s="1"/>
  <c r="N8" i="10"/>
  <c r="N9" i="10" s="1"/>
  <c r="I18" i="10"/>
  <c r="I9" i="10"/>
  <c r="I13" i="10" s="1"/>
  <c r="I15" i="10" s="1"/>
  <c r="J18" i="10"/>
  <c r="J9" i="10"/>
  <c r="J13" i="10" s="1"/>
  <c r="J15" i="10" s="1"/>
  <c r="K18" i="10"/>
  <c r="K9" i="10"/>
  <c r="K13" i="10" s="1"/>
  <c r="K15" i="10" s="1"/>
  <c r="L18" i="10"/>
  <c r="L9" i="10"/>
  <c r="L13" i="10" s="1"/>
  <c r="L15" i="10" s="1"/>
  <c r="B15" i="10"/>
  <c r="N13" i="10"/>
  <c r="B19" i="10"/>
  <c r="C19" i="10"/>
  <c r="D19" i="10"/>
  <c r="E19" i="10"/>
  <c r="F19" i="10"/>
  <c r="G19" i="10"/>
  <c r="M19" i="10"/>
  <c r="J16" i="9"/>
  <c r="J15" i="9"/>
  <c r="K16" i="9"/>
  <c r="K15" i="9"/>
  <c r="L16" i="9"/>
  <c r="L15" i="9"/>
  <c r="L12" i="9"/>
  <c r="K12" i="9"/>
  <c r="J12" i="9"/>
  <c r="I7" i="9"/>
  <c r="O4" i="9"/>
  <c r="H16" i="5"/>
  <c r="H7" i="5"/>
  <c r="L19" i="10" l="1"/>
  <c r="K19" i="10"/>
  <c r="J19" i="10"/>
  <c r="I19" i="10"/>
  <c r="H19" i="10"/>
  <c r="C10" i="10"/>
  <c r="D5" i="10"/>
  <c r="O7" i="9"/>
  <c r="O9" i="9" s="1"/>
  <c r="I9" i="9"/>
  <c r="G17" i="5"/>
  <c r="E17" i="5"/>
  <c r="AM3" i="4"/>
  <c r="AN3" i="4"/>
  <c r="AO3" i="4"/>
  <c r="AP3" i="4"/>
  <c r="AQ3" i="4"/>
  <c r="AR3" i="4"/>
  <c r="AS3" i="4"/>
  <c r="AT3" i="4"/>
  <c r="AU3" i="4"/>
  <c r="AV3" i="4"/>
  <c r="AW3" i="4"/>
  <c r="AM4" i="4"/>
  <c r="AN4" i="4"/>
  <c r="AO4" i="4"/>
  <c r="AP4" i="4"/>
  <c r="AQ4" i="4"/>
  <c r="AR4" i="4"/>
  <c r="AS4" i="4"/>
  <c r="AT4" i="4"/>
  <c r="AU4" i="4"/>
  <c r="AV4" i="4"/>
  <c r="AW4" i="4"/>
  <c r="AL4" i="4"/>
  <c r="AL3" i="4"/>
  <c r="AA3" i="4"/>
  <c r="AB3" i="4"/>
  <c r="AC3" i="4"/>
  <c r="AD3" i="4"/>
  <c r="AE3" i="4"/>
  <c r="AF3" i="4"/>
  <c r="AG3" i="4"/>
  <c r="AH3" i="4"/>
  <c r="AI3" i="4"/>
  <c r="AJ3" i="4"/>
  <c r="AK3" i="4"/>
  <c r="AA4" i="4"/>
  <c r="AB4" i="4"/>
  <c r="AC4" i="4"/>
  <c r="AD4" i="4"/>
  <c r="AE4" i="4"/>
  <c r="AF4" i="4"/>
  <c r="AG4" i="4"/>
  <c r="AH4" i="4"/>
  <c r="AI4" i="4"/>
  <c r="AJ4" i="4"/>
  <c r="AK4" i="4"/>
  <c r="Z4" i="4"/>
  <c r="Z3" i="4"/>
  <c r="G7" i="6"/>
  <c r="H7" i="6"/>
  <c r="I7" i="6"/>
  <c r="E6" i="6"/>
  <c r="E7" i="6" s="1"/>
  <c r="F6" i="6"/>
  <c r="F7" i="6" s="1"/>
  <c r="G6" i="6"/>
  <c r="H6" i="6"/>
  <c r="I6" i="6"/>
  <c r="J6" i="6"/>
  <c r="J7" i="6" s="1"/>
  <c r="K6" i="6"/>
  <c r="K7" i="6" s="1"/>
  <c r="D6" i="6"/>
  <c r="D7" i="6" s="1"/>
  <c r="M5" i="6"/>
  <c r="N5" i="6"/>
  <c r="O5" i="6"/>
  <c r="O6" i="6" s="1"/>
  <c r="P5" i="6"/>
  <c r="P6" i="6" s="1"/>
  <c r="Q5" i="6"/>
  <c r="Q6" i="6" s="1"/>
  <c r="R5" i="6"/>
  <c r="S5" i="6"/>
  <c r="T5" i="6"/>
  <c r="T6" i="6" s="1"/>
  <c r="U5" i="6"/>
  <c r="U6" i="6" s="1"/>
  <c r="V5" i="6"/>
  <c r="W5" i="6"/>
  <c r="W6" i="6" s="1"/>
  <c r="M4" i="6"/>
  <c r="N4" i="6"/>
  <c r="O4" i="6"/>
  <c r="P4" i="6"/>
  <c r="Q4" i="6"/>
  <c r="R4" i="6"/>
  <c r="S4" i="6"/>
  <c r="T4" i="6"/>
  <c r="U4" i="6"/>
  <c r="V4" i="6"/>
  <c r="W4" i="6"/>
  <c r="L5" i="6"/>
  <c r="L6" i="6" s="1"/>
  <c r="L4" i="6"/>
  <c r="L7" i="6" s="1"/>
  <c r="W7" i="6" l="1"/>
  <c r="D10" i="10"/>
  <c r="E5" i="10"/>
  <c r="U7" i="6"/>
  <c r="T7" i="6"/>
  <c r="S6" i="6"/>
  <c r="S7" i="6" s="1"/>
  <c r="R6" i="6"/>
  <c r="R7" i="6" s="1"/>
  <c r="N6" i="6"/>
  <c r="P7" i="6"/>
  <c r="Q7" i="6"/>
  <c r="O7" i="6"/>
  <c r="N7" i="6"/>
  <c r="M6" i="6"/>
  <c r="M7" i="6" s="1"/>
  <c r="V6" i="6"/>
  <c r="V7" i="6" s="1"/>
  <c r="E10" i="10" l="1"/>
  <c r="F5" i="10"/>
  <c r="M17" i="5"/>
  <c r="L17" i="5"/>
  <c r="K17" i="5"/>
  <c r="J17" i="5"/>
  <c r="I17" i="5"/>
  <c r="H17" i="5"/>
  <c r="F17" i="5"/>
  <c r="D17" i="5"/>
  <c r="C17" i="5"/>
  <c r="B17" i="5"/>
  <c r="N10" i="5"/>
  <c r="M8" i="5"/>
  <c r="M12" i="5" s="1"/>
  <c r="M14" i="5" s="1"/>
  <c r="L8" i="5"/>
  <c r="L12" i="5" s="1"/>
  <c r="L14" i="5" s="1"/>
  <c r="K8" i="5"/>
  <c r="K12" i="5" s="1"/>
  <c r="J8" i="5"/>
  <c r="J12" i="5" s="1"/>
  <c r="I8" i="5"/>
  <c r="I12" i="5" s="1"/>
  <c r="H8" i="5"/>
  <c r="H12" i="5" s="1"/>
  <c r="G8" i="5"/>
  <c r="G12" i="5" s="1"/>
  <c r="G14" i="5" s="1"/>
  <c r="F8" i="5"/>
  <c r="F12" i="5" s="1"/>
  <c r="F14" i="5" s="1"/>
  <c r="E8" i="5"/>
  <c r="E12" i="5" s="1"/>
  <c r="E14" i="5" s="1"/>
  <c r="D8" i="5"/>
  <c r="D12" i="5" s="1"/>
  <c r="D14" i="5" s="1"/>
  <c r="C8" i="5"/>
  <c r="C12" i="5" s="1"/>
  <c r="B8" i="5"/>
  <c r="B12" i="5" s="1"/>
  <c r="N7" i="5"/>
  <c r="N8" i="5" s="1"/>
  <c r="N4" i="5"/>
  <c r="N10" i="3"/>
  <c r="M8" i="3"/>
  <c r="N8" i="3"/>
  <c r="N7" i="3"/>
  <c r="N4" i="3"/>
  <c r="M17" i="3"/>
  <c r="F10" i="10" l="1"/>
  <c r="G5" i="10"/>
  <c r="B18" i="5"/>
  <c r="F18" i="5"/>
  <c r="H18" i="5"/>
  <c r="I18" i="5"/>
  <c r="H14" i="5"/>
  <c r="E18" i="5"/>
  <c r="G18" i="5"/>
  <c r="M18" i="5"/>
  <c r="B14" i="5"/>
  <c r="N12" i="5"/>
  <c r="D18" i="5"/>
  <c r="L18" i="5"/>
  <c r="I14" i="5"/>
  <c r="J18" i="5"/>
  <c r="J14" i="5"/>
  <c r="C18" i="5"/>
  <c r="C14" i="5"/>
  <c r="K18" i="5"/>
  <c r="K14" i="5"/>
  <c r="L17" i="3"/>
  <c r="L8" i="3"/>
  <c r="G10" i="10" l="1"/>
  <c r="H5" i="10"/>
  <c r="K17" i="3"/>
  <c r="K8" i="3"/>
  <c r="H10" i="10" l="1"/>
  <c r="I5" i="10"/>
  <c r="J17" i="3"/>
  <c r="J8" i="3"/>
  <c r="I10" i="10" l="1"/>
  <c r="J5" i="10"/>
  <c r="I20" i="3"/>
  <c r="I17" i="3"/>
  <c r="I8" i="3"/>
  <c r="J10" i="10" l="1"/>
  <c r="K5" i="10"/>
  <c r="H8" i="3"/>
  <c r="K10" i="10" l="1"/>
  <c r="L5" i="10"/>
  <c r="H17" i="3"/>
  <c r="G17" i="3"/>
  <c r="G8" i="3"/>
  <c r="L10" i="10" l="1"/>
  <c r="M5" i="10"/>
  <c r="M10" i="10" s="1"/>
  <c r="F17" i="3"/>
  <c r="E17" i="3"/>
  <c r="F8" i="3" l="1"/>
  <c r="E8" i="3" l="1"/>
  <c r="M21" i="2" l="1"/>
  <c r="C21" i="2"/>
  <c r="D21" i="2"/>
  <c r="E21" i="2"/>
  <c r="F21" i="2"/>
  <c r="G21" i="2"/>
  <c r="H21" i="2"/>
  <c r="I21" i="2"/>
  <c r="J21" i="2"/>
  <c r="K21" i="2"/>
  <c r="L21" i="2"/>
  <c r="B21" i="2"/>
  <c r="C17" i="1"/>
  <c r="D17" i="1"/>
  <c r="E17" i="1"/>
  <c r="F17" i="1"/>
  <c r="G17" i="1"/>
  <c r="H17" i="1"/>
  <c r="I17" i="1"/>
  <c r="J17" i="1"/>
  <c r="K17" i="1"/>
  <c r="L17" i="1"/>
  <c r="M17" i="1"/>
  <c r="B17" i="1"/>
  <c r="D17" i="3"/>
  <c r="C11" i="3"/>
  <c r="D11" i="3" s="1"/>
  <c r="D8" i="3"/>
  <c r="C17" i="3" l="1"/>
  <c r="C8" i="3"/>
  <c r="C12" i="3" s="1"/>
  <c r="B17" i="3" l="1"/>
  <c r="B8" i="3"/>
  <c r="B12" i="3" s="1"/>
  <c r="B14" i="3" l="1"/>
  <c r="B18" i="3"/>
  <c r="B1" i="3"/>
  <c r="B5" i="3" s="1"/>
  <c r="C5" i="3" s="1"/>
  <c r="D12" i="3"/>
  <c r="K12" i="3"/>
  <c r="J12" i="3"/>
  <c r="I12" i="3"/>
  <c r="I21" i="3" s="1"/>
  <c r="H12" i="3"/>
  <c r="F12" i="3"/>
  <c r="E12" i="3"/>
  <c r="E18" i="3" s="1"/>
  <c r="L18" i="2"/>
  <c r="L16" i="2"/>
  <c r="K14" i="3" l="1"/>
  <c r="K18" i="3"/>
  <c r="J14" i="3"/>
  <c r="J18" i="3"/>
  <c r="D14" i="3"/>
  <c r="D18" i="3"/>
  <c r="I14" i="3"/>
  <c r="I18" i="3"/>
  <c r="H14" i="3"/>
  <c r="H18" i="3"/>
  <c r="F18" i="3"/>
  <c r="F14" i="3"/>
  <c r="E14" i="3"/>
  <c r="D5" i="3"/>
  <c r="C9" i="3"/>
  <c r="C14" i="3"/>
  <c r="C18" i="3"/>
  <c r="M12" i="3"/>
  <c r="L12" i="3"/>
  <c r="G12" i="3"/>
  <c r="N12" i="3" s="1"/>
  <c r="B9" i="3"/>
  <c r="K16" i="2"/>
  <c r="L14" i="3" l="1"/>
  <c r="L18" i="3"/>
  <c r="M14" i="3"/>
  <c r="M18" i="3"/>
  <c r="G14" i="3"/>
  <c r="G18" i="3"/>
  <c r="D9" i="3"/>
  <c r="E5" i="3"/>
  <c r="J16" i="2"/>
  <c r="J6" i="2"/>
  <c r="F5" i="3" l="1"/>
  <c r="E9" i="3"/>
  <c r="I16" i="2"/>
  <c r="E13" i="2"/>
  <c r="G10" i="2"/>
  <c r="F10" i="2"/>
  <c r="C10" i="2"/>
  <c r="B2" i="2"/>
  <c r="B1" i="2"/>
  <c r="M10" i="2"/>
  <c r="L10" i="2"/>
  <c r="K10" i="2"/>
  <c r="J10" i="2"/>
  <c r="I10" i="2"/>
  <c r="H10" i="2"/>
  <c r="E10" i="2"/>
  <c r="D10" i="2"/>
  <c r="B10" i="2"/>
  <c r="B14" i="2" s="1"/>
  <c r="M11" i="1"/>
  <c r="L11" i="1"/>
  <c r="G5" i="3" l="1"/>
  <c r="F9" i="3"/>
  <c r="F13" i="2"/>
  <c r="G13" i="2" s="1"/>
  <c r="C14" i="2"/>
  <c r="B6" i="2"/>
  <c r="C6" i="2" s="1"/>
  <c r="D14" i="2"/>
  <c r="E14" i="2"/>
  <c r="F14" i="2"/>
  <c r="K11" i="1"/>
  <c r="J11" i="1"/>
  <c r="I11" i="1"/>
  <c r="H11" i="1"/>
  <c r="D15" i="1"/>
  <c r="E15" i="1"/>
  <c r="B15" i="1"/>
  <c r="G11" i="1"/>
  <c r="F12" i="1"/>
  <c r="F11" i="1"/>
  <c r="E11" i="1"/>
  <c r="D11" i="1"/>
  <c r="D9" i="1"/>
  <c r="E9" i="1"/>
  <c r="F9" i="1"/>
  <c r="G9" i="1"/>
  <c r="H9" i="1"/>
  <c r="I9" i="1"/>
  <c r="J9" i="1"/>
  <c r="K9" i="1"/>
  <c r="L9" i="1"/>
  <c r="M9" i="1"/>
  <c r="C11" i="1"/>
  <c r="C9" i="1"/>
  <c r="B9" i="1"/>
  <c r="H5" i="3" l="1"/>
  <c r="G9" i="3"/>
  <c r="H13" i="2"/>
  <c r="G14" i="2"/>
  <c r="B11" i="2"/>
  <c r="D6" i="2"/>
  <c r="D11" i="2" s="1"/>
  <c r="C11" i="2"/>
  <c r="B5" i="1"/>
  <c r="K12" i="1"/>
  <c r="J12" i="1"/>
  <c r="I12" i="1"/>
  <c r="H12" i="1"/>
  <c r="G12" i="1"/>
  <c r="C12" i="1"/>
  <c r="D12" i="1"/>
  <c r="B12" i="1"/>
  <c r="H9" i="3" l="1"/>
  <c r="I5" i="3"/>
  <c r="I13" i="2"/>
  <c r="H14" i="2"/>
  <c r="E6" i="2"/>
  <c r="F6" i="2" s="1"/>
  <c r="B10" i="1"/>
  <c r="C5" i="1"/>
  <c r="M12" i="1"/>
  <c r="L12" i="1"/>
  <c r="E12" i="1"/>
  <c r="I9" i="3" l="1"/>
  <c r="J5" i="3"/>
  <c r="J13" i="2"/>
  <c r="I14" i="2"/>
  <c r="E11" i="2"/>
  <c r="G6" i="2"/>
  <c r="F11" i="2"/>
  <c r="C10" i="1"/>
  <c r="D5" i="1"/>
  <c r="K5" i="3" l="1"/>
  <c r="J9" i="3"/>
  <c r="K13" i="2"/>
  <c r="J14" i="2"/>
  <c r="G11" i="2"/>
  <c r="H6" i="2"/>
  <c r="E5" i="1"/>
  <c r="F5" i="1" s="1"/>
  <c r="D10" i="1"/>
  <c r="L5" i="3" l="1"/>
  <c r="K9" i="3"/>
  <c r="L13" i="2"/>
  <c r="K14" i="2"/>
  <c r="H11" i="2"/>
  <c r="I6" i="2"/>
  <c r="E10" i="1"/>
  <c r="M5" i="3" l="1"/>
  <c r="L9" i="3"/>
  <c r="M13" i="2"/>
  <c r="M14" i="2" s="1"/>
  <c r="M16" i="2" s="1"/>
  <c r="L14" i="2"/>
  <c r="I11" i="2"/>
  <c r="G5" i="1"/>
  <c r="F10" i="1"/>
  <c r="M9" i="3" l="1"/>
  <c r="B1" i="5"/>
  <c r="K6" i="2"/>
  <c r="J11" i="2"/>
  <c r="H5" i="1"/>
  <c r="G10" i="1"/>
  <c r="B5" i="5" l="1"/>
  <c r="C1" i="9"/>
  <c r="C5" i="9" s="1"/>
  <c r="B9" i="5"/>
  <c r="C5" i="5"/>
  <c r="L6" i="2"/>
  <c r="K11" i="2"/>
  <c r="I5" i="1"/>
  <c r="H10" i="1"/>
  <c r="D5" i="9" l="1"/>
  <c r="C13" i="9"/>
  <c r="C9" i="5"/>
  <c r="D5" i="5"/>
  <c r="M6" i="2"/>
  <c r="M11" i="2" s="1"/>
  <c r="L11" i="2"/>
  <c r="J5" i="1"/>
  <c r="I10" i="1"/>
  <c r="E5" i="9" l="1"/>
  <c r="D13" i="9"/>
  <c r="E5" i="5"/>
  <c r="D9" i="5"/>
  <c r="K5" i="1"/>
  <c r="J10" i="1"/>
  <c r="F5" i="9" l="1"/>
  <c r="E13" i="9"/>
  <c r="E9" i="5"/>
  <c r="F5" i="5"/>
  <c r="L5" i="1"/>
  <c r="K10" i="1"/>
  <c r="G5" i="9" l="1"/>
  <c r="F13" i="9"/>
  <c r="F9" i="5"/>
  <c r="G5" i="5"/>
  <c r="M5" i="1"/>
  <c r="M10" i="1" s="1"/>
  <c r="L10" i="1"/>
  <c r="H5" i="9" l="1"/>
  <c r="G13" i="9"/>
  <c r="G9" i="5"/>
  <c r="H5" i="5"/>
  <c r="I5" i="9" l="1"/>
  <c r="H13" i="9"/>
  <c r="H9" i="5"/>
  <c r="I5" i="5"/>
  <c r="J5" i="9" l="1"/>
  <c r="I13" i="9"/>
  <c r="I9" i="5"/>
  <c r="J5" i="5"/>
  <c r="K5" i="9" l="1"/>
  <c r="J13" i="9"/>
  <c r="J9" i="5"/>
  <c r="K5" i="5"/>
  <c r="L5" i="9" l="1"/>
  <c r="K13" i="9"/>
  <c r="K9" i="5"/>
  <c r="L5" i="5"/>
  <c r="M5" i="9" l="1"/>
  <c r="L13" i="9"/>
  <c r="M5" i="5"/>
  <c r="M9" i="5" s="1"/>
  <c r="L9" i="5"/>
  <c r="N5" i="9" l="1"/>
  <c r="N13" i="9" s="1"/>
  <c r="M13"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tc={1C568E1B-A082-4E74-8591-5AAC7702DC7D}</author>
  </authors>
  <commentList>
    <comment ref="A12" authorId="0" shapeId="0" xr:uid="{1C568E1B-A082-4E74-8591-5AAC7702DC7D}">
      <text>
        <t>[Threaded comment]
Your version of Excel allows you to read this threaded comment; however, any edits to it will get removed if the file is opened in a newer version of Excel. Learn more: https://go.microsoft.com/fwlink/?linkid=870924
Comment:
    This is from the automated report “License Activation Report” provided by Softway Solutions.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tc={138616E9-980D-EF4E-B51B-B6666082C004}</author>
  </authors>
  <commentList>
    <comment ref="A11" authorId="0" shapeId="0" xr:uid="{138616E9-980D-EF4E-B51B-B6666082C004}">
      <text>
        <t>[Threaded comment]
Your version of Excel allows you to read this threaded comment; however, any edits to it will get removed if the file is opened in a newer version of Excel. Learn more: https://go.microsoft.com/fwlink/?linkid=870924
Comment:
    This is from the automated report “License Activation Report” provided by Softway Solutions.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tc={A95C39B0-3178-3547-B6F1-C89513C4541D}</author>
  </authors>
  <commentList>
    <comment ref="A11" authorId="0" shapeId="0" xr:uid="{A95C39B0-3178-3547-B6F1-C89513C4541D}">
      <text>
        <t>[Threaded comment]
Your version of Excel allows you to read this threaded comment; however, any edits to it will get removed if the file is opened in a newer version of Excel. Learn more: https://go.microsoft.com/fwlink/?linkid=870924
Comment:
    This is from the automated report “License Activation Report” provided by Softway Solutions.</t>
      </text>
    </comment>
  </commentList>
</comments>
</file>

<file path=xl/sharedStrings.xml><?xml version="1.0" encoding="utf-8"?>
<sst xmlns="http://schemas.openxmlformats.org/spreadsheetml/2006/main" count="285" uniqueCount="113">
  <si>
    <t>Cost Category</t>
  </si>
  <si>
    <t>Description</t>
  </si>
  <si>
    <t>Unit #</t>
  </si>
  <si>
    <t>Nature #</t>
  </si>
  <si>
    <t>Daikin ONE</t>
  </si>
  <si>
    <t>Total Cloud costs for Wi-Fi Connected Thermostats (Sustaining)</t>
  </si>
  <si>
    <t>Cloud Services</t>
  </si>
  <si>
    <t>COGS for Cloud Services / SkyportCare</t>
  </si>
  <si>
    <t>April</t>
  </si>
  <si>
    <t>May</t>
  </si>
  <si>
    <t>June</t>
  </si>
  <si>
    <t>July</t>
  </si>
  <si>
    <t>August</t>
  </si>
  <si>
    <t>September</t>
  </si>
  <si>
    <t>October</t>
  </si>
  <si>
    <t>November</t>
  </si>
  <si>
    <t>December</t>
  </si>
  <si>
    <t>January</t>
  </si>
  <si>
    <t>February</t>
  </si>
  <si>
    <t>March</t>
  </si>
  <si>
    <t>FY25 Total</t>
  </si>
  <si>
    <t>Monthly Smart Thermostat Sales (All Stats &amp; Brands)</t>
  </si>
  <si>
    <t>Total Daikin One Sales (All-time)</t>
  </si>
  <si>
    <t>Total D/A/G Thermostats Connected to Wi-Fi</t>
  </si>
  <si>
    <t>AWS Cost (DNA)</t>
  </si>
  <si>
    <t>AWS Cost (Venstar)</t>
  </si>
  <si>
    <t>AWS Cost (Total)</t>
  </si>
  <si>
    <t>Cost per D1+ Connection (DNA)</t>
  </si>
  <si>
    <t>Cost per D1+ Connection (Venstar)</t>
  </si>
  <si>
    <t>Cost per D1+ Connection (Total)</t>
  </si>
  <si>
    <t>Percentage of all D1+ Connected to Wi-Fi</t>
  </si>
  <si>
    <t>Vs Prior Month (%)</t>
  </si>
  <si>
    <t>Vs April %</t>
  </si>
  <si>
    <t>Prior Years (FY19-FY22) Daikin One+ Sales</t>
  </si>
  <si>
    <t>AWS Cost</t>
  </si>
  <si>
    <t>Cost per D1+ Connection (Per month)</t>
  </si>
  <si>
    <t>New Cloud Services Sales &amp; Activations (Monthly)</t>
  </si>
  <si>
    <t>Active Cloud Services Plans (EOM)</t>
  </si>
  <si>
    <t xml:space="preserve">Daikin One Cloud Services COGS </t>
  </si>
  <si>
    <t>Daikin One Cost</t>
  </si>
  <si>
    <t>Tax</t>
  </si>
  <si>
    <t>AWS Cost Less Tax</t>
  </si>
  <si>
    <t>D1 Cost w/o tax &amp; DOCS</t>
  </si>
  <si>
    <t>FY24 Total</t>
  </si>
  <si>
    <t>AWS Cost less tax &amp; Credits</t>
  </si>
  <si>
    <t>Daikin One allocation (AWS Cost - DOCS COGS)</t>
  </si>
  <si>
    <t>PY Active DOCS Licenses</t>
  </si>
  <si>
    <t>Monthly Daikin Smart Thermostat Sales (All Stats &amp; Brands)</t>
  </si>
  <si>
    <t>AWS Redshift (Pre-paid, 36 months July '21 - June '24)</t>
  </si>
  <si>
    <t>Total AWS Cost</t>
  </si>
  <si>
    <t xml:space="preserve"> </t>
  </si>
  <si>
    <t>Prior Years (FY19-FY21) Daikin One+ Sales</t>
  </si>
  <si>
    <t>Monthly Daikin One Smart Thermostat Sales</t>
  </si>
  <si>
    <t>D1+ Connected to Wi-Fi</t>
  </si>
  <si>
    <t>Cost per D1+ Connection</t>
  </si>
  <si>
    <t>Original Numbers</t>
  </si>
  <si>
    <t>Delta</t>
  </si>
  <si>
    <t>Total AWS</t>
  </si>
  <si>
    <t>FY24</t>
  </si>
  <si>
    <t>FY25</t>
  </si>
  <si>
    <t>Jul</t>
  </si>
  <si>
    <t>Aug</t>
  </si>
  <si>
    <t>Sep</t>
  </si>
  <si>
    <t>Oct</t>
  </si>
  <si>
    <t>Nov</t>
  </si>
  <si>
    <t>Dec</t>
  </si>
  <si>
    <t>Jan</t>
  </si>
  <si>
    <t>Feb</t>
  </si>
  <si>
    <t>Mar</t>
  </si>
  <si>
    <t>Apr</t>
  </si>
  <si>
    <t>Jun</t>
  </si>
  <si>
    <t>License Growth</t>
  </si>
  <si>
    <t>ExpiredLicenses (Inferred)</t>
  </si>
  <si>
    <t>FY22</t>
  </si>
  <si>
    <t>FY23</t>
  </si>
  <si>
    <t>APR</t>
  </si>
  <si>
    <t>MAY</t>
  </si>
  <si>
    <t>JUN</t>
  </si>
  <si>
    <t>JUL</t>
  </si>
  <si>
    <t>AUG</t>
  </si>
  <si>
    <t>SEP</t>
  </si>
  <si>
    <t>OCT</t>
  </si>
  <si>
    <t>NOV</t>
  </si>
  <si>
    <t>DEC</t>
  </si>
  <si>
    <t>JAN</t>
  </si>
  <si>
    <t>FEB</t>
  </si>
  <si>
    <t>MAR</t>
  </si>
  <si>
    <t>Connected Devices</t>
  </si>
  <si>
    <t>Cell</t>
  </si>
  <si>
    <t>Data Source</t>
  </si>
  <si>
    <t>Notes</t>
  </si>
  <si>
    <t>A4</t>
  </si>
  <si>
    <t>https://prod-useast-b.online.tableau.com/#/site/daikincomfort/views/DAIKINONETHERMOSTATSDOCSSELLIN/ThermostatSalesSummary?:iid=1</t>
  </si>
  <si>
    <t>You will need to filter thermostats - IAQ and Accessories are included in the list</t>
  </si>
  <si>
    <t>A5</t>
  </si>
  <si>
    <t>Auto-calculated based on a rough estimate of sales from FY19 - FY22.  Sales tracking under the former split BU's had some surprising gaps, and was not a priority for Dennis or Jacky</t>
  </si>
  <si>
    <t>A6</t>
  </si>
  <si>
    <t>Pulled from the .CSV report that is emailed monthly - See "report 07.31.25.csv" attached cell B:1654 for the value needed</t>
  </si>
  <si>
    <t>A7</t>
  </si>
  <si>
    <t>From AWS Invoice - Currently being emailed to me.</t>
  </si>
  <si>
    <t>A8</t>
  </si>
  <si>
    <t>AWS monthly spend divided by total number of Wi-Fi connected thermostats</t>
  </si>
  <si>
    <t>A9</t>
  </si>
  <si>
    <t>Math - connected / all-time sell-in</t>
  </si>
  <si>
    <t>A10</t>
  </si>
  <si>
    <t>https://prod-useast-b.online.tableau.com/#/site/daikincomfort/views/ResidentialControlsSolutions/MonthlySalesMTD?:iid=1
'- This can also be found in the monthly sales report emailed by Softway, CS-Monthly-Sales-XX.XX.XX, see attached example.</t>
  </si>
  <si>
    <t>Not used for COGS, but you and I agreed we should track this monthly.  Currently we're not using this but it's a relevant metric</t>
  </si>
  <si>
    <t>A11</t>
  </si>
  <si>
    <t>Monthly report emailed by Softway, License_Activation_Report_Jul_2025 is attached as an example
'- This should be able to be pulled from the "Licenses" report on Tableau but the data does not align and Softway is not giving a firm number.  i.e. - Tableau report show 10.54K for Active License count rather than a firm number.  Additionally, the emailed report for July EOM shows 10,720.
- This was on my list to review with Kashif and the team.</t>
  </si>
  <si>
    <t>Highlights the lack of renewals, and should be a key metric for us as an organization and one that sales should be tracked to moving forward.</t>
  </si>
  <si>
    <t>A12</t>
  </si>
  <si>
    <t>Math - Active licenses * Cost / connection</t>
  </si>
  <si>
    <t>DT and I argued about using this as COGS since it's essentially doubling the cost / connection for thermostats connected to CS, and doesn't reflect actual CS costs.
The reality is this is fine for now, and getting more accurate on the cost for deliverying CS will require implementing more analytical tools on our server to track cost to serve.  In the future this should be reviewed.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</si>
</sst>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43" formatCode="_(* #,##0.00_);_(* \(#,##0.00\);_(* &quot;-&quot;??_);_(@_)"/>
    <numFmt numFmtId="164" formatCode="_(* #,##0_);_(* \(#,##0\);_(* &quot;-&quot;??_);_(@_)"/>
  </numFmts>
  <fonts count="13"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i/>
      <sz val="11"/>
      <color theme="1"/>
      <name val="Calibri"/>
      <family val="2"/>
      <scheme val="minor"/>
    </font>
    <font>
      <sz val="10"/>
      <color rgb="FF000000"/>
      <name val="Helvetica Neue"/>
      <family val="2"/>
    </font>
    <font>
      <sz val="8"/>
      <name val="Calibri"/>
      <family val="2"/>
      <scheme val="minor"/>
    </font>
    <font>
      <b/>
      <sz val="14"/>
      <color theme="1"/>
      <name val="Calibri"/>
      <family val="2"/>
      <scheme val="minor"/>
    </font>
    <font>
      <b/>
      <sz val="12"/>
      <color theme="1"/>
      <name val="Calibri"/>
      <family val="2"/>
      <scheme val="minor"/>
    </font>
    <font>
      <sz val="6"/>
      <color rgb="FF000000"/>
      <name val="Arial"/>
      <family val="2"/>
    </font>
    <font>
      <u/>
      <sz val="11"/>
      <color theme="10"/>
      <name val="Calibri"/>
      <family val="2"/>
      <scheme val="minor"/>
    </font>
    <font>
      <sz val="11"/>
      <color rgb="FF242424"/>
      <name val="Consolas"/>
      <family val="2"/>
    </font>
  </fonts>
  <fills count="10">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FFFFCC"/>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DAE2F2"/>
        <bgColor indexed="64"/>
      </patternFill>
    </fill>
    <fill>
      <patternFill patternType="solid">
        <fgColor rgb="FFFFFF00"/>
        <bgColor indexed="64"/>
      </patternFill>
    </fill>
  </fills>
  <borders count="49">
    <border>
      <left/>
      <right/>
      <top/>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bottom style="double">
        <color indexed="64"/>
      </bottom>
      <diagonal/>
    </border>
    <border>
      <left style="thin">
        <color indexed="64"/>
      </left>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style="thin">
        <color indexed="64"/>
      </right>
      <top style="medium">
        <color indexed="64"/>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s>
  <cellStyleXfs count="6">
    <xf numFmtId="0" fontId="0"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2" fillId="0" borderId="0"/>
    <xf numFmtId="0" fontId="11" fillId="0" borderId="0" applyNumberFormat="0" applyFill="0" applyBorder="0" applyAlignment="0" applyProtection="0"/>
  </cellStyleXfs>
  <cellXfs count="153">
    <xf numFmtId="0" fontId="0" fillId="0" borderId="0" xfId="0"/>
    <xf numFmtId="0" fontId="0" fillId="2" borderId="1" xfId="0" applyFill="1" applyBorder="1"/>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0" fillId="2" borderId="0" xfId="0" applyFill="1"/>
    <xf numFmtId="0" fontId="0" fillId="3" borderId="5" xfId="0" applyFill="1" applyBorder="1"/>
    <xf numFmtId="164" fontId="0" fillId="3" borderId="6" xfId="1" applyNumberFormat="1" applyFont="1" applyFill="1" applyBorder="1"/>
    <xf numFmtId="164" fontId="0" fillId="3" borderId="7" xfId="1" applyNumberFormat="1" applyFont="1" applyFill="1" applyBorder="1"/>
    <xf numFmtId="164" fontId="0" fillId="3" borderId="8" xfId="1" applyNumberFormat="1" applyFont="1" applyFill="1" applyBorder="1"/>
    <xf numFmtId="164" fontId="0" fillId="3" borderId="9" xfId="1" applyNumberFormat="1" applyFont="1" applyFill="1" applyBorder="1"/>
    <xf numFmtId="0" fontId="0" fillId="2" borderId="5" xfId="0" applyFill="1" applyBorder="1"/>
    <xf numFmtId="164" fontId="0" fillId="2" borderId="7" xfId="1" applyNumberFormat="1" applyFont="1" applyFill="1" applyBorder="1"/>
    <xf numFmtId="164" fontId="0" fillId="2" borderId="7" xfId="0" applyNumberFormat="1" applyFill="1" applyBorder="1"/>
    <xf numFmtId="164" fontId="0" fillId="2" borderId="9" xfId="1" applyNumberFormat="1" applyFont="1" applyFill="1" applyBorder="1"/>
    <xf numFmtId="44" fontId="0" fillId="2" borderId="7" xfId="2" applyFont="1" applyFill="1" applyBorder="1"/>
    <xf numFmtId="44" fontId="0" fillId="2" borderId="8" xfId="2" applyFont="1" applyFill="1" applyBorder="1"/>
    <xf numFmtId="44" fontId="0" fillId="2" borderId="9" xfId="2" applyFont="1" applyFill="1" applyBorder="1"/>
    <xf numFmtId="44" fontId="0" fillId="3" borderId="7" xfId="2" applyFont="1" applyFill="1" applyBorder="1"/>
    <xf numFmtId="44" fontId="0" fillId="3" borderId="8" xfId="2" applyFont="1" applyFill="1" applyBorder="1"/>
    <xf numFmtId="44" fontId="0" fillId="3" borderId="9" xfId="2" applyFont="1" applyFill="1" applyBorder="1"/>
    <xf numFmtId="9" fontId="0" fillId="3" borderId="7" xfId="3" applyFont="1" applyFill="1" applyBorder="1"/>
    <xf numFmtId="9" fontId="0" fillId="3" borderId="9" xfId="3" applyFont="1" applyFill="1" applyBorder="1"/>
    <xf numFmtId="0" fontId="0" fillId="2" borderId="10" xfId="0" applyFill="1" applyBorder="1"/>
    <xf numFmtId="0" fontId="0" fillId="2" borderId="11" xfId="0" applyFill="1" applyBorder="1"/>
    <xf numFmtId="37" fontId="0" fillId="2" borderId="11" xfId="0" applyNumberFormat="1" applyFill="1" applyBorder="1"/>
    <xf numFmtId="164" fontId="0" fillId="2" borderId="11" xfId="1" applyNumberFormat="1" applyFont="1" applyFill="1" applyBorder="1"/>
    <xf numFmtId="0" fontId="5" fillId="4" borderId="14" xfId="0" applyFont="1" applyFill="1" applyBorder="1"/>
    <xf numFmtId="44" fontId="5" fillId="4" borderId="15" xfId="2" applyFont="1" applyFill="1" applyBorder="1"/>
    <xf numFmtId="44" fontId="5" fillId="4" borderId="16" xfId="2" applyFont="1" applyFill="1" applyBorder="1"/>
    <xf numFmtId="44" fontId="0" fillId="5" borderId="7" xfId="2" applyFont="1" applyFill="1" applyBorder="1"/>
    <xf numFmtId="0" fontId="0" fillId="2" borderId="17" xfId="0" applyFill="1" applyBorder="1"/>
    <xf numFmtId="164" fontId="0" fillId="2" borderId="4" xfId="1" applyNumberFormat="1" applyFont="1" applyFill="1" applyBorder="1"/>
    <xf numFmtId="164" fontId="0" fillId="3" borderId="18" xfId="1" applyNumberFormat="1" applyFont="1" applyFill="1" applyBorder="1"/>
    <xf numFmtId="43" fontId="0" fillId="2" borderId="0" xfId="1" applyFont="1" applyFill="1"/>
    <xf numFmtId="164" fontId="0" fillId="2" borderId="0" xfId="1" applyNumberFormat="1" applyFont="1" applyFill="1"/>
    <xf numFmtId="0" fontId="0" fillId="6" borderId="0" xfId="0" applyFill="1" applyAlignment="1">
      <alignment wrapText="1"/>
    </xf>
    <xf numFmtId="164" fontId="0" fillId="6" borderId="0" xfId="0" applyNumberFormat="1" applyFill="1"/>
    <xf numFmtId="43" fontId="0" fillId="2" borderId="0" xfId="0" applyNumberFormat="1" applyFill="1"/>
    <xf numFmtId="164" fontId="0" fillId="2" borderId="11" xfId="0" applyNumberFormat="1" applyFill="1" applyBorder="1"/>
    <xf numFmtId="164" fontId="0" fillId="2" borderId="12" xfId="0" applyNumberFormat="1" applyFill="1" applyBorder="1"/>
    <xf numFmtId="164" fontId="0" fillId="2" borderId="13" xfId="0" applyNumberFormat="1" applyFill="1" applyBorder="1"/>
    <xf numFmtId="164" fontId="0" fillId="3" borderId="19" xfId="1" applyNumberFormat="1" applyFont="1" applyFill="1" applyBorder="1"/>
    <xf numFmtId="164" fontId="0" fillId="2" borderId="8" xfId="0" applyNumberFormat="1" applyFill="1" applyBorder="1"/>
    <xf numFmtId="164" fontId="0" fillId="2" borderId="20" xfId="1" applyNumberFormat="1" applyFont="1" applyFill="1" applyBorder="1"/>
    <xf numFmtId="0" fontId="0" fillId="3" borderId="10" xfId="0" applyFill="1" applyBorder="1"/>
    <xf numFmtId="164" fontId="0" fillId="3" borderId="11" xfId="0" applyNumberFormat="1" applyFill="1" applyBorder="1"/>
    <xf numFmtId="1" fontId="0" fillId="2" borderId="7" xfId="3" applyNumberFormat="1" applyFont="1" applyFill="1" applyBorder="1"/>
    <xf numFmtId="1" fontId="0" fillId="2" borderId="9" xfId="3" applyNumberFormat="1" applyFont="1" applyFill="1" applyBorder="1"/>
    <xf numFmtId="0" fontId="0" fillId="3" borderId="21" xfId="0" applyFill="1" applyBorder="1"/>
    <xf numFmtId="164" fontId="0" fillId="3" borderId="22" xfId="1" applyNumberFormat="1" applyFont="1" applyFill="1" applyBorder="1"/>
    <xf numFmtId="164" fontId="0" fillId="3" borderId="13" xfId="0" applyNumberFormat="1" applyFill="1" applyBorder="1"/>
    <xf numFmtId="0" fontId="0" fillId="7" borderId="0" xfId="0" applyFill="1"/>
    <xf numFmtId="44" fontId="0" fillId="7" borderId="0" xfId="0" applyNumberFormat="1" applyFill="1"/>
    <xf numFmtId="44" fontId="0" fillId="7" borderId="23" xfId="0" applyNumberFormat="1" applyFill="1" applyBorder="1"/>
    <xf numFmtId="44" fontId="0" fillId="2" borderId="0" xfId="0" applyNumberFormat="1" applyFill="1"/>
    <xf numFmtId="9" fontId="0" fillId="2" borderId="7" xfId="3" applyFont="1" applyFill="1" applyBorder="1"/>
    <xf numFmtId="1" fontId="0" fillId="3" borderId="7" xfId="3" applyNumberFormat="1" applyFont="1" applyFill="1" applyBorder="1"/>
    <xf numFmtId="44" fontId="0" fillId="2" borderId="0" xfId="2" applyFont="1" applyFill="1"/>
    <xf numFmtId="0" fontId="6" fillId="0" borderId="0" xfId="0" applyFont="1"/>
    <xf numFmtId="0" fontId="6" fillId="2" borderId="0" xfId="0" applyFont="1" applyFill="1"/>
    <xf numFmtId="0" fontId="0" fillId="0" borderId="0" xfId="0" applyAlignment="1">
      <alignment horizontal="center"/>
    </xf>
    <xf numFmtId="164" fontId="0" fillId="0" borderId="0" xfId="0" applyNumberFormat="1"/>
    <xf numFmtId="3" fontId="0" fillId="0" borderId="0" xfId="0" applyNumberFormat="1"/>
    <xf numFmtId="44" fontId="0" fillId="0" borderId="0" xfId="2" applyFont="1"/>
    <xf numFmtId="0" fontId="0" fillId="0" borderId="25" xfId="0" applyBorder="1" applyAlignment="1">
      <alignment horizontal="center"/>
    </xf>
    <xf numFmtId="3" fontId="0" fillId="0" borderId="26" xfId="0" applyNumberFormat="1" applyBorder="1"/>
    <xf numFmtId="44" fontId="0" fillId="0" borderId="26" xfId="2" applyFont="1" applyBorder="1"/>
    <xf numFmtId="164" fontId="0" fillId="0" borderId="26" xfId="0" applyNumberFormat="1" applyBorder="1"/>
    <xf numFmtId="0" fontId="0" fillId="2" borderId="28" xfId="0" applyFill="1" applyBorder="1"/>
    <xf numFmtId="164" fontId="0" fillId="8" borderId="28" xfId="0" applyNumberFormat="1" applyFill="1" applyBorder="1"/>
    <xf numFmtId="164" fontId="0" fillId="2" borderId="28" xfId="0" applyNumberFormat="1" applyFill="1" applyBorder="1"/>
    <xf numFmtId="44" fontId="0" fillId="2" borderId="28" xfId="0" applyNumberFormat="1" applyFill="1" applyBorder="1"/>
    <xf numFmtId="44" fontId="0" fillId="8" borderId="28" xfId="2" applyFont="1" applyFill="1" applyBorder="1"/>
    <xf numFmtId="0" fontId="4" fillId="2" borderId="27" xfId="0" applyFont="1" applyFill="1" applyBorder="1" applyAlignment="1">
      <alignment horizontal="center"/>
    </xf>
    <xf numFmtId="1" fontId="0" fillId="8" borderId="28" xfId="0" applyNumberFormat="1" applyFill="1" applyBorder="1"/>
    <xf numFmtId="0" fontId="0" fillId="2" borderId="30" xfId="0" applyFill="1" applyBorder="1"/>
    <xf numFmtId="44" fontId="5" fillId="4" borderId="29" xfId="0" applyNumberFormat="1" applyFont="1" applyFill="1" applyBorder="1"/>
    <xf numFmtId="0" fontId="4" fillId="0" borderId="23" xfId="0" applyFont="1" applyBorder="1" applyAlignment="1">
      <alignment horizontal="center"/>
    </xf>
    <xf numFmtId="1" fontId="0" fillId="3" borderId="23" xfId="3" applyNumberFormat="1" applyFont="1" applyFill="1" applyBorder="1"/>
    <xf numFmtId="164" fontId="0" fillId="2" borderId="23" xfId="0" applyNumberFormat="1" applyFill="1" applyBorder="1"/>
    <xf numFmtId="0" fontId="4" fillId="0" borderId="35" xfId="0" applyFont="1" applyBorder="1" applyAlignment="1">
      <alignment horizontal="center"/>
    </xf>
    <xf numFmtId="0" fontId="0" fillId="3" borderId="34" xfId="0" applyFill="1" applyBorder="1"/>
    <xf numFmtId="1" fontId="0" fillId="3" borderId="35" xfId="3" applyNumberFormat="1" applyFont="1" applyFill="1" applyBorder="1"/>
    <xf numFmtId="164" fontId="0" fillId="2" borderId="35" xfId="0" applyNumberFormat="1" applyFill="1" applyBorder="1"/>
    <xf numFmtId="0" fontId="0" fillId="0" borderId="36" xfId="0" applyBorder="1"/>
    <xf numFmtId="164" fontId="0" fillId="0" borderId="37" xfId="0" applyNumberFormat="1" applyBorder="1"/>
    <xf numFmtId="164" fontId="0" fillId="0" borderId="38" xfId="0" applyNumberFormat="1" applyBorder="1"/>
    <xf numFmtId="0" fontId="0" fillId="0" borderId="39" xfId="0" applyBorder="1"/>
    <xf numFmtId="0" fontId="0" fillId="0" borderId="40" xfId="0" applyBorder="1"/>
    <xf numFmtId="0" fontId="0" fillId="3" borderId="40" xfId="0" applyFill="1" applyBorder="1"/>
    <xf numFmtId="0" fontId="0" fillId="2" borderId="40" xfId="0" applyFill="1" applyBorder="1"/>
    <xf numFmtId="0" fontId="0" fillId="0" borderId="41" xfId="0" applyBorder="1"/>
    <xf numFmtId="0" fontId="4" fillId="0" borderId="43" xfId="0" applyFont="1" applyBorder="1" applyAlignment="1">
      <alignment horizontal="center"/>
    </xf>
    <xf numFmtId="1" fontId="0" fillId="3" borderId="43" xfId="3" applyNumberFormat="1" applyFont="1" applyFill="1" applyBorder="1"/>
    <xf numFmtId="164" fontId="0" fillId="2" borderId="43" xfId="0" applyNumberFormat="1" applyFill="1" applyBorder="1"/>
    <xf numFmtId="164" fontId="0" fillId="0" borderId="44" xfId="0" applyNumberFormat="1" applyBorder="1"/>
    <xf numFmtId="0" fontId="4" fillId="0" borderId="34" xfId="0" applyFont="1" applyBorder="1" applyAlignment="1">
      <alignment horizontal="center"/>
    </xf>
    <xf numFmtId="1" fontId="0" fillId="3" borderId="34" xfId="3" applyNumberFormat="1" applyFont="1" applyFill="1" applyBorder="1"/>
    <xf numFmtId="164" fontId="0" fillId="2" borderId="34" xfId="0" applyNumberFormat="1" applyFill="1" applyBorder="1"/>
    <xf numFmtId="164" fontId="0" fillId="3" borderId="23" xfId="0" applyNumberFormat="1" applyFill="1" applyBorder="1"/>
    <xf numFmtId="164" fontId="0" fillId="3" borderId="35" xfId="0" applyNumberFormat="1" applyFill="1" applyBorder="1"/>
    <xf numFmtId="164" fontId="0" fillId="3" borderId="43" xfId="0" applyNumberFormat="1" applyFill="1" applyBorder="1"/>
    <xf numFmtId="0" fontId="0" fillId="4" borderId="45" xfId="0" applyFill="1" applyBorder="1"/>
    <xf numFmtId="0" fontId="4" fillId="4" borderId="17" xfId="0" applyFont="1" applyFill="1" applyBorder="1" applyAlignment="1">
      <alignment horizont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0" fillId="4" borderId="46" xfId="0" applyFill="1" applyBorder="1"/>
    <xf numFmtId="0" fontId="0" fillId="4" borderId="47" xfId="0" applyFill="1" applyBorder="1"/>
    <xf numFmtId="0" fontId="0" fillId="4" borderId="36" xfId="0" applyFill="1" applyBorder="1"/>
    <xf numFmtId="0" fontId="0" fillId="4" borderId="37" xfId="0" applyFill="1" applyBorder="1"/>
    <xf numFmtId="0" fontId="0" fillId="4" borderId="38" xfId="0" applyFill="1" applyBorder="1"/>
    <xf numFmtId="164" fontId="0" fillId="2" borderId="0" xfId="0" applyNumberFormat="1" applyFill="1"/>
    <xf numFmtId="0" fontId="2" fillId="2" borderId="0" xfId="4" applyFill="1"/>
    <xf numFmtId="0" fontId="9" fillId="2" borderId="23" xfId="4" applyFont="1" applyFill="1" applyBorder="1" applyAlignment="1">
      <alignment horizontal="center"/>
    </xf>
    <xf numFmtId="0" fontId="2" fillId="2" borderId="23" xfId="4" applyFill="1" applyBorder="1"/>
    <xf numFmtId="0" fontId="2" fillId="2" borderId="23" xfId="4" applyFill="1" applyBorder="1" applyAlignment="1">
      <alignment wrapText="1"/>
    </xf>
    <xf numFmtId="0" fontId="2" fillId="4" borderId="23" xfId="4" applyFill="1" applyBorder="1"/>
    <xf numFmtId="0" fontId="5" fillId="4" borderId="23" xfId="4" applyFont="1" applyFill="1" applyBorder="1"/>
    <xf numFmtId="0" fontId="2" fillId="4" borderId="23" xfId="4" applyFill="1" applyBorder="1" applyAlignment="1">
      <alignment wrapText="1"/>
    </xf>
    <xf numFmtId="0" fontId="2" fillId="3" borderId="23" xfId="4" applyFill="1" applyBorder="1"/>
    <xf numFmtId="0" fontId="2" fillId="3" borderId="23" xfId="4" applyFill="1" applyBorder="1" applyAlignment="1">
      <alignment wrapText="1"/>
    </xf>
    <xf numFmtId="44" fontId="0" fillId="0" borderId="0" xfId="0" applyNumberFormat="1"/>
    <xf numFmtId="0" fontId="1" fillId="3" borderId="23" xfId="4" applyFont="1" applyFill="1" applyBorder="1"/>
    <xf numFmtId="0" fontId="1" fillId="2" borderId="23" xfId="4" applyFont="1" applyFill="1" applyBorder="1"/>
    <xf numFmtId="0" fontId="1" fillId="3" borderId="23" xfId="4" applyFont="1" applyFill="1" applyBorder="1" applyAlignment="1">
      <alignment wrapText="1"/>
    </xf>
    <xf numFmtId="0" fontId="1" fillId="2" borderId="23" xfId="4" applyFont="1" applyFill="1" applyBorder="1" applyAlignment="1">
      <alignment wrapText="1"/>
    </xf>
    <xf numFmtId="0" fontId="0" fillId="0" borderId="21" xfId="0" applyBorder="1"/>
    <xf numFmtId="164" fontId="0" fillId="0" borderId="28" xfId="0" applyNumberFormat="1" applyBorder="1"/>
    <xf numFmtId="0" fontId="0" fillId="0" borderId="5" xfId="0" applyBorder="1"/>
    <xf numFmtId="44" fontId="0" fillId="0" borderId="28" xfId="0" applyNumberFormat="1" applyBorder="1"/>
    <xf numFmtId="44" fontId="0" fillId="0" borderId="28" xfId="2" applyFont="1" applyFill="1" applyBorder="1"/>
    <xf numFmtId="0" fontId="0" fillId="0" borderId="28" xfId="0" applyBorder="1"/>
    <xf numFmtId="164" fontId="0" fillId="0" borderId="48" xfId="1" applyNumberFormat="1" applyFont="1" applyFill="1" applyBorder="1"/>
    <xf numFmtId="164" fontId="0" fillId="0" borderId="28" xfId="1" applyNumberFormat="1" applyFont="1" applyFill="1" applyBorder="1"/>
    <xf numFmtId="9" fontId="0" fillId="0" borderId="28" xfId="3" applyFont="1" applyFill="1" applyBorder="1"/>
    <xf numFmtId="3" fontId="10" fillId="0" borderId="0" xfId="0" applyNumberFormat="1" applyFont="1" applyAlignment="1">
      <alignment wrapText="1"/>
    </xf>
    <xf numFmtId="3" fontId="0" fillId="2" borderId="0" xfId="0" applyNumberFormat="1" applyFill="1"/>
    <xf numFmtId="0" fontId="11" fillId="3" borderId="23" xfId="5" applyFill="1" applyBorder="1"/>
    <xf numFmtId="44" fontId="0" fillId="0" borderId="28" xfId="2" applyFont="1" applyBorder="1"/>
    <xf numFmtId="9" fontId="0" fillId="0" borderId="0" xfId="0" applyNumberFormat="1" applyAlignment="1">
      <alignment horizontal="center"/>
    </xf>
    <xf numFmtId="9" fontId="0" fillId="0" borderId="0" xfId="3" applyFont="1" applyAlignment="1">
      <alignment horizontal="center"/>
    </xf>
    <xf numFmtId="44" fontId="0" fillId="9" borderId="28" xfId="2" applyFont="1" applyFill="1" applyBorder="1"/>
    <xf numFmtId="9" fontId="0" fillId="9" borderId="0" xfId="3" applyFont="1" applyFill="1" applyAlignment="1">
      <alignment horizontal="center"/>
    </xf>
    <xf numFmtId="0" fontId="12" fillId="0" borderId="0" xfId="0" applyFont="1"/>
    <xf numFmtId="0" fontId="8" fillId="0" borderId="31" xfId="0" applyFont="1" applyBorder="1" applyAlignment="1">
      <alignment horizontal="center"/>
    </xf>
    <xf numFmtId="0" fontId="8" fillId="0" borderId="32" xfId="0" applyFont="1" applyBorder="1" applyAlignment="1">
      <alignment horizontal="center"/>
    </xf>
    <xf numFmtId="0" fontId="8" fillId="0" borderId="33" xfId="0" applyFont="1" applyBorder="1" applyAlignment="1">
      <alignment horizontal="center"/>
    </xf>
    <xf numFmtId="0" fontId="8" fillId="0" borderId="42" xfId="0" applyFont="1" applyBorder="1" applyAlignment="1">
      <alignment horizontal="center"/>
    </xf>
    <xf numFmtId="0" fontId="4" fillId="0" borderId="1" xfId="0" applyFont="1" applyBorder="1" applyAlignment="1">
      <alignment horizontal="center"/>
    </xf>
    <xf numFmtId="0" fontId="4" fillId="0" borderId="24" xfId="0" applyFont="1" applyBorder="1" applyAlignment="1">
      <alignment horizontal="center"/>
    </xf>
    <xf numFmtId="0" fontId="4" fillId="0" borderId="20" xfId="0" applyFont="1" applyBorder="1" applyAlignment="1">
      <alignment horizontal="center"/>
    </xf>
    <xf numFmtId="8" fontId="0" fillId="2" borderId="7" xfId="2" applyNumberFormat="1" applyFont="1" applyFill="1" applyBorder="1"/>
  </cellXfs>
  <cellStyles count="6">
    <cellStyle name="Comma" xfId="1" builtinId="3"/>
    <cellStyle name="Currency" xfId="2" builtinId="4"/>
    <cellStyle name="Hyperlink" xfId="5" builtinId="8"/>
    <cellStyle name="Normal" xfId="0" builtinId="0"/>
    <cellStyle name="Normal 2" xfId="4" xr:uid="{FF64B213-524C-074E-BCB6-122BFC57B5D7}"/>
    <cellStyle name="Percent" xfId="3" builtinId="5"/>
  </cellStyles>
  <dxfs count="0"/>
  <tableStyles count="0" defaultTableStyle="TableStyleMedium2" defaultPivotStyle="PivotStyleLight16"/>
  <colors>
    <mruColors>
      <color rgb="FFFFFFCC"/>
      <color rgb="FFDAE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License Growth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'License Growth Graphed'!$B$4</c:f>
              <c:strCache>
                <c:ptCount val="1"/>
                <c:pt idx="0">
                  <c:v>New Cloud Services Sales &amp; Activations (Monthly)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'License Growth Graphed'!$C$3:$M$3</c:f>
              <c:strCache>
                <c:ptCount val="11"/>
                <c:pt idx="0">
                  <c:v>Jul</c:v>
                </c:pt>
                <c:pt idx="1">
                  <c:v>Aug</c:v>
                </c:pt>
                <c:pt idx="2">
                  <c:v>Sep</c:v>
                </c:pt>
                <c:pt idx="3">
                  <c:v>Oct</c:v>
                </c:pt>
                <c:pt idx="4">
                  <c:v>Nov</c:v>
                </c:pt>
                <c:pt idx="5">
                  <c:v>Dec</c:v>
                </c:pt>
                <c:pt idx="6">
                  <c:v>Jan</c:v>
                </c:pt>
                <c:pt idx="7">
                  <c:v>Feb</c:v>
                </c:pt>
                <c:pt idx="8">
                  <c:v>Mar</c:v>
                </c:pt>
                <c:pt idx="9">
                  <c:v>Apr</c:v>
                </c:pt>
                <c:pt idx="10">
                  <c:v>May</c:v>
                </c:pt>
              </c:strCache>
            </c:strRef>
          </c:cat>
          <c:val>
            <c:numRef>
              <c:f>'License Growth Graphed'!$C$4:$M$4</c:f>
              <c:numCache>
                <c:formatCode>0</c:formatCode>
                <c:ptCount val="11"/>
                <c:pt idx="0">
                  <c:v>859</c:v>
                </c:pt>
                <c:pt idx="1">
                  <c:v>726</c:v>
                </c:pt>
                <c:pt idx="2">
                  <c:v>546</c:v>
                </c:pt>
                <c:pt idx="3">
                  <c:v>702</c:v>
                </c:pt>
                <c:pt idx="4">
                  <c:v>668</c:v>
                </c:pt>
                <c:pt idx="5">
                  <c:v>661</c:v>
                </c:pt>
                <c:pt idx="6">
                  <c:v>765</c:v>
                </c:pt>
                <c:pt idx="7">
                  <c:v>699</c:v>
                </c:pt>
                <c:pt idx="8">
                  <c:v>600</c:v>
                </c:pt>
                <c:pt idx="9">
                  <c:v>680</c:v>
                </c:pt>
                <c:pt idx="10">
                  <c:v>730</c:v>
                </c:pt>
              </c:numCache>
            </c:numRef>
          </c:val>
          <c:smooth val="0"/>
          <c:extLst>
            <c:ext xmlns:c16="http://schemas.microsoft.com/office/drawing/2014/chart" uri="{C3380CC4-5D6E-409C-BE32-E72D297353CC}">
              <c16:uniqueId val="{00000000-5E15-1442-BE1F-5A13ED9EF32F}"/>
            </c:ext>
          </c:extLst>
        </c:ser>
        <c:ser>
          <c:idx val="1"/>
          <c:order val="1"/>
          <c:tx>
            <c:strRef>
              <c:f>'License Growth Graphed'!$B$5</c:f>
              <c:strCache>
                <c:ptCount val="1"/>
                <c:pt idx="0">
                  <c:v>Active Cloud Services Plans (EOM)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'License Growth Graphed'!$C$3:$M$3</c:f>
              <c:strCache>
                <c:ptCount val="11"/>
                <c:pt idx="0">
                  <c:v>Jul</c:v>
                </c:pt>
                <c:pt idx="1">
                  <c:v>Aug</c:v>
                </c:pt>
                <c:pt idx="2">
                  <c:v>Sep</c:v>
                </c:pt>
                <c:pt idx="3">
                  <c:v>Oct</c:v>
                </c:pt>
                <c:pt idx="4">
                  <c:v>Nov</c:v>
                </c:pt>
                <c:pt idx="5">
                  <c:v>Dec</c:v>
                </c:pt>
                <c:pt idx="6">
                  <c:v>Jan</c:v>
                </c:pt>
                <c:pt idx="7">
                  <c:v>Feb</c:v>
                </c:pt>
                <c:pt idx="8">
                  <c:v>Mar</c:v>
                </c:pt>
                <c:pt idx="9">
                  <c:v>Apr</c:v>
                </c:pt>
                <c:pt idx="10">
                  <c:v>May</c:v>
                </c:pt>
              </c:strCache>
            </c:strRef>
          </c:cat>
          <c:val>
            <c:numRef>
              <c:f>'License Growth Graphed'!$C$5:$M$5</c:f>
              <c:numCache>
                <c:formatCode>_(* #,##0_);_(* \(#,##0\);_(* "-"??_);_(@_)</c:formatCode>
                <c:ptCount val="11"/>
                <c:pt idx="0">
                  <c:v>8628</c:v>
                </c:pt>
                <c:pt idx="1">
                  <c:v>8879</c:v>
                </c:pt>
                <c:pt idx="2">
                  <c:v>9434</c:v>
                </c:pt>
                <c:pt idx="3">
                  <c:v>9690</c:v>
                </c:pt>
                <c:pt idx="4">
                  <c:v>10236</c:v>
                </c:pt>
                <c:pt idx="5">
                  <c:v>10826</c:v>
                </c:pt>
                <c:pt idx="6">
                  <c:v>9612</c:v>
                </c:pt>
                <c:pt idx="7">
                  <c:v>9874</c:v>
                </c:pt>
                <c:pt idx="8">
                  <c:v>10062</c:v>
                </c:pt>
                <c:pt idx="9">
                  <c:v>10265</c:v>
                </c:pt>
                <c:pt idx="10">
                  <c:v>10400</c:v>
                </c:pt>
              </c:numCache>
            </c:numRef>
          </c:val>
          <c:smooth val="0"/>
          <c:extLst>
            <c:ext xmlns:c16="http://schemas.microsoft.com/office/drawing/2014/chart" uri="{C3380CC4-5D6E-409C-BE32-E72D297353CC}">
              <c16:uniqueId val="{00000001-5E15-1442-BE1F-5A13ED9EF32F}"/>
            </c:ext>
          </c:extLst>
        </c:ser>
        <c:dLbls>
          <c:showLegendKey val="0"/>
          <c:showVal val="0"/>
          <c:showCatName val="0"/>
          <c:showSerName val="0"/>
          <c:showPercent val="0"/>
          <c:showBubbleSize val="0"/>
        </c:dLbls>
        <c:marker val="1"/>
        <c:smooth val="0"/>
        <c:axId val="825406303"/>
        <c:axId val="1701189103"/>
      </c:lineChart>
      <c:catAx>
        <c:axId val="82540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189103"/>
        <c:crosses val="autoZero"/>
        <c:auto val="1"/>
        <c:lblAlgn val="ctr"/>
        <c:lblOffset val="100"/>
        <c:noMultiLvlLbl val="0"/>
      </c:catAx>
      <c:valAx>
        <c:axId val="17011891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406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New vs. Expiring Licenses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'License Growth Graphed'!$B$4</c:f>
              <c:strCache>
                <c:ptCount val="1"/>
                <c:pt idx="0">
                  <c:v>New Cloud Services Sales &amp; Activations (Monthly)</c:v>
                </c:pt>
              </c:strCache>
            </c:strRef>
          </c:tx>
          <c:spPr>
            <a:solidFill>
              <a:schemeClr val="accent1"/>
            </a:solidFill>
            <a:ln>
              <a:noFill/>
            </a:ln>
            <a:effectLst/>
          </c:spPr>
          <c:invertIfNegative val="0"/>
          <c:cat>
            <c:strRef>
              <c:f>'License Growth Graphed'!$C$3:$M$3</c:f>
              <c:strCache>
                <c:ptCount val="11"/>
                <c:pt idx="0">
                  <c:v>Jul</c:v>
                </c:pt>
                <c:pt idx="1">
                  <c:v>Aug</c:v>
                </c:pt>
                <c:pt idx="2">
                  <c:v>Sep</c:v>
                </c:pt>
                <c:pt idx="3">
                  <c:v>Oct</c:v>
                </c:pt>
                <c:pt idx="4">
                  <c:v>Nov</c:v>
                </c:pt>
                <c:pt idx="5">
                  <c:v>Dec</c:v>
                </c:pt>
                <c:pt idx="6">
                  <c:v>Jan</c:v>
                </c:pt>
                <c:pt idx="7">
                  <c:v>Feb</c:v>
                </c:pt>
                <c:pt idx="8">
                  <c:v>Mar</c:v>
                </c:pt>
                <c:pt idx="9">
                  <c:v>Apr</c:v>
                </c:pt>
                <c:pt idx="10">
                  <c:v>May</c:v>
                </c:pt>
              </c:strCache>
            </c:strRef>
          </c:cat>
          <c:val>
            <c:numRef>
              <c:f>'License Growth Graphed'!$C$4:$M$4</c:f>
              <c:numCache>
                <c:formatCode>0</c:formatCode>
                <c:ptCount val="11"/>
                <c:pt idx="0">
                  <c:v>859</c:v>
                </c:pt>
                <c:pt idx="1">
                  <c:v>726</c:v>
                </c:pt>
                <c:pt idx="2">
                  <c:v>546</c:v>
                </c:pt>
                <c:pt idx="3">
                  <c:v>702</c:v>
                </c:pt>
                <c:pt idx="4">
                  <c:v>668</c:v>
                </c:pt>
                <c:pt idx="5">
                  <c:v>661</c:v>
                </c:pt>
                <c:pt idx="6">
                  <c:v>765</c:v>
                </c:pt>
                <c:pt idx="7">
                  <c:v>699</c:v>
                </c:pt>
                <c:pt idx="8">
                  <c:v>600</c:v>
                </c:pt>
                <c:pt idx="9">
                  <c:v>680</c:v>
                </c:pt>
                <c:pt idx="10">
                  <c:v>730</c:v>
                </c:pt>
              </c:numCache>
            </c:numRef>
          </c:val>
          <c:extLst>
            <c:ext xmlns:c16="http://schemas.microsoft.com/office/drawing/2014/chart" uri="{C3380CC4-5D6E-409C-BE32-E72D297353CC}">
              <c16:uniqueId val="{00000000-359A-B042-A528-5109456AE0C4}"/>
            </c:ext>
          </c:extLst>
        </c:ser>
        <c:ser>
          <c:idx val="1"/>
          <c:order val="1"/>
          <c:tx>
            <c:strRef>
              <c:f>'License Growth Graphed'!$B$7</c:f>
              <c:strCache>
                <c:ptCount val="1"/>
                <c:pt idx="0">
                  <c:v>ExpiredLicenses (Inferred)</c:v>
                </c:pt>
              </c:strCache>
            </c:strRef>
          </c:tx>
          <c:spPr>
            <a:solidFill>
              <a:schemeClr val="accent2"/>
            </a:solidFill>
            <a:ln>
              <a:noFill/>
            </a:ln>
            <a:effectLst/>
          </c:spPr>
          <c:invertIfNegative val="0"/>
          <c:cat>
            <c:strRef>
              <c:f>'License Growth Graphed'!$C$3:$M$3</c:f>
              <c:strCache>
                <c:ptCount val="11"/>
                <c:pt idx="0">
                  <c:v>Jul</c:v>
                </c:pt>
                <c:pt idx="1">
                  <c:v>Aug</c:v>
                </c:pt>
                <c:pt idx="2">
                  <c:v>Sep</c:v>
                </c:pt>
                <c:pt idx="3">
                  <c:v>Oct</c:v>
                </c:pt>
                <c:pt idx="4">
                  <c:v>Nov</c:v>
                </c:pt>
                <c:pt idx="5">
                  <c:v>Dec</c:v>
                </c:pt>
                <c:pt idx="6">
                  <c:v>Jan</c:v>
                </c:pt>
                <c:pt idx="7">
                  <c:v>Feb</c:v>
                </c:pt>
                <c:pt idx="8">
                  <c:v>Mar</c:v>
                </c:pt>
                <c:pt idx="9">
                  <c:v>Apr</c:v>
                </c:pt>
                <c:pt idx="10">
                  <c:v>May</c:v>
                </c:pt>
              </c:strCache>
            </c:strRef>
          </c:cat>
          <c:val>
            <c:numRef>
              <c:f>'License Growth Graphed'!$C$7:$M$7</c:f>
              <c:numCache>
                <c:formatCode>_(* #,##0_);_(* \(#,##0\);_(* "-"??_);_(@_)</c:formatCode>
                <c:ptCount val="11"/>
                <c:pt idx="1">
                  <c:v>475</c:v>
                </c:pt>
                <c:pt idx="2">
                  <c:v>-9</c:v>
                </c:pt>
                <c:pt idx="3">
                  <c:v>446</c:v>
                </c:pt>
                <c:pt idx="4">
                  <c:v>122</c:v>
                </c:pt>
                <c:pt idx="5">
                  <c:v>71</c:v>
                </c:pt>
                <c:pt idx="6">
                  <c:v>1979</c:v>
                </c:pt>
                <c:pt idx="7">
                  <c:v>437</c:v>
                </c:pt>
                <c:pt idx="8">
                  <c:v>412</c:v>
                </c:pt>
                <c:pt idx="9">
                  <c:v>477</c:v>
                </c:pt>
                <c:pt idx="10">
                  <c:v>595</c:v>
                </c:pt>
              </c:numCache>
            </c:numRef>
          </c:val>
          <c:extLst>
            <c:ext xmlns:c16="http://schemas.microsoft.com/office/drawing/2014/chart" uri="{C3380CC4-5D6E-409C-BE32-E72D297353CC}">
              <c16:uniqueId val="{00000001-359A-B042-A528-5109456AE0C4}"/>
            </c:ext>
          </c:extLst>
        </c:ser>
        <c:dLbls>
          <c:showLegendKey val="0"/>
          <c:showVal val="0"/>
          <c:showCatName val="0"/>
          <c:showSerName val="0"/>
          <c:showPercent val="0"/>
          <c:showBubbleSize val="0"/>
        </c:dLbls>
        <c:gapWidth val="150"/>
        <c:axId val="1637704911"/>
        <c:axId val="1637722879"/>
      </c:barChart>
      <c:catAx>
        <c:axId val="163770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22879"/>
        <c:crosses val="autoZero"/>
        <c:auto val="1"/>
        <c:lblAlgn val="ctr"/>
        <c:lblOffset val="100"/>
        <c:noMultiLvlLbl val="0"/>
      </c:catAx>
      <c:valAx>
        <c:axId val="16377228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04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Connected</a:t>
            </a:r>
            <a:r>
              <a:rPr lang="en-US" sz="2400" b="1" baseline="0"/>
              <a:t> Device &amp; Cloud Cost FY22 Onward</a:t>
            </a:r>
            <a:endParaRPr lang="en-US" sz="2400" b="1"/>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'AWS Cost Graphed'!$A$3</c:f>
              <c:strCache>
                <c:ptCount val="1"/>
                <c:pt idx="0">
                  <c:v>Connected Devices</c:v>
                </c:pt>
              </c:strCache>
            </c:strRef>
          </c:tx>
          <c:spPr>
            <a:solidFill>
              <a:schemeClr val="accent1"/>
            </a:solidFill>
            <a:ln>
              <a:noFill/>
            </a:ln>
            <a:effectLst/>
          </c:spPr>
          <c:invertIfNegative val="0"/>
          <c:dLbls>
            <c:dLbl>
              <c:idx val="17"/>
              <c:layout>
                <c:manualLayout>
                  <c:x val="-2.7081922816519972E-3"/>
                  <c:y val="-6.770480704129993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86F-D34C-B17A-94F61B386ECB}"/>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'AWS Cost Graphed'!$B$1:$AO$2</c:f>
              <c:multiLvlStrCache>
                <c:ptCount val="40"/>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pt idx="13">
                    <c:v>MAY</c:v>
                  </c:pt>
                  <c:pt idx="14">
                    <c:v>JUN</c:v>
                  </c:pt>
                  <c:pt idx="15">
                    <c:v>JUL</c:v>
                  </c:pt>
                  <c:pt idx="16">
                    <c:v>AUG</c:v>
                  </c:pt>
                  <c:pt idx="17">
                    <c:v>SEP</c:v>
                  </c:pt>
                  <c:pt idx="18">
                    <c:v>OCT</c:v>
                  </c:pt>
                  <c:pt idx="19">
                    <c:v>NOV</c:v>
                  </c:pt>
                  <c:pt idx="20">
                    <c:v>DEC</c:v>
                  </c:pt>
                  <c:pt idx="21">
                    <c:v>JAN</c:v>
                  </c:pt>
                  <c:pt idx="22">
                    <c:v>FEB</c:v>
                  </c:pt>
                  <c:pt idx="23">
                    <c:v>MAR</c:v>
                  </c:pt>
                  <c:pt idx="24">
                    <c:v>APR</c:v>
                  </c:pt>
                  <c:pt idx="25">
                    <c:v>MAY</c:v>
                  </c:pt>
                  <c:pt idx="26">
                    <c:v>JUN</c:v>
                  </c:pt>
                  <c:pt idx="27">
                    <c:v>JUL</c:v>
                  </c:pt>
                  <c:pt idx="28">
                    <c:v>AUG</c:v>
                  </c:pt>
                  <c:pt idx="29">
                    <c:v>SEP</c:v>
                  </c:pt>
                  <c:pt idx="30">
                    <c:v>OCT</c:v>
                  </c:pt>
                  <c:pt idx="31">
                    <c:v>NOV</c:v>
                  </c:pt>
                  <c:pt idx="32">
                    <c:v>DEC</c:v>
                  </c:pt>
                  <c:pt idx="33">
                    <c:v>JAN</c:v>
                  </c:pt>
                  <c:pt idx="34">
                    <c:v>FEB</c:v>
                  </c:pt>
                  <c:pt idx="35">
                    <c:v>MAR</c:v>
                  </c:pt>
                  <c:pt idx="36">
                    <c:v>APR</c:v>
                  </c:pt>
                  <c:pt idx="37">
                    <c:v>MAY</c:v>
                  </c:pt>
                  <c:pt idx="38">
                    <c:v>JUN</c:v>
                  </c:pt>
                  <c:pt idx="39">
                    <c:v>JUL</c:v>
                  </c:pt>
                </c:lvl>
                <c:lvl>
                  <c:pt idx="0">
                    <c:v>FY22</c:v>
                  </c:pt>
                  <c:pt idx="12">
                    <c:v>FY23</c:v>
                  </c:pt>
                  <c:pt idx="24">
                    <c:v>FY24</c:v>
                  </c:pt>
                  <c:pt idx="36">
                    <c:v>FY25</c:v>
                  </c:pt>
                </c:lvl>
              </c:multiLvlStrCache>
            </c:multiLvlStrRef>
          </c:cat>
          <c:val>
            <c:numRef>
              <c:f>'AWS Cost Graphed'!$B$3:$AO$3</c:f>
              <c:numCache>
                <c:formatCode>#,##0</c:formatCode>
                <c:ptCount val="40"/>
                <c:pt idx="0">
                  <c:v>57638</c:v>
                </c:pt>
                <c:pt idx="1">
                  <c:v>61619</c:v>
                </c:pt>
                <c:pt idx="2">
                  <c:v>66518</c:v>
                </c:pt>
                <c:pt idx="3">
                  <c:v>70208</c:v>
                </c:pt>
                <c:pt idx="4">
                  <c:v>74951</c:v>
                </c:pt>
                <c:pt idx="5">
                  <c:v>77997</c:v>
                </c:pt>
                <c:pt idx="6">
                  <c:v>80779</c:v>
                </c:pt>
                <c:pt idx="7">
                  <c:v>83789</c:v>
                </c:pt>
                <c:pt idx="8">
                  <c:v>86251</c:v>
                </c:pt>
                <c:pt idx="9">
                  <c:v>88317</c:v>
                </c:pt>
                <c:pt idx="10">
                  <c:v>90841</c:v>
                </c:pt>
                <c:pt idx="11">
                  <c:v>94908</c:v>
                </c:pt>
                <c:pt idx="12" formatCode="_(* #,##0_);_(* \(#,##0\);_(* &quot;-&quot;??_);_(@_)">
                  <c:v>99826</c:v>
                </c:pt>
                <c:pt idx="13" formatCode="_(* #,##0_);_(* \(#,##0\);_(* &quot;-&quot;??_);_(@_)">
                  <c:v>105125</c:v>
                </c:pt>
                <c:pt idx="14" formatCode="_(* #,##0_);_(* \(#,##0\);_(* &quot;-&quot;??_);_(@_)">
                  <c:v>114981</c:v>
                </c:pt>
                <c:pt idx="15" formatCode="_(* #,##0_);_(* \(#,##0\);_(* &quot;-&quot;??_);_(@_)">
                  <c:v>121036</c:v>
                </c:pt>
                <c:pt idx="16" formatCode="_(* #,##0_);_(* \(#,##0\);_(* &quot;-&quot;??_);_(@_)">
                  <c:v>127251</c:v>
                </c:pt>
                <c:pt idx="17" formatCode="_(* #,##0_);_(* \(#,##0\);_(* &quot;-&quot;??_);_(@_)">
                  <c:v>132549</c:v>
                </c:pt>
                <c:pt idx="18" formatCode="_(* #,##0_);_(* \(#,##0\);_(* &quot;-&quot;??_);_(@_)">
                  <c:v>131437</c:v>
                </c:pt>
                <c:pt idx="19" formatCode="_(* #,##0_);_(* \(#,##0\);_(* &quot;-&quot;??_);_(@_)">
                  <c:v>135558</c:v>
                </c:pt>
                <c:pt idx="20" formatCode="_(* #,##0_);_(* \(#,##0\);_(* &quot;-&quot;??_);_(@_)">
                  <c:v>139286</c:v>
                </c:pt>
                <c:pt idx="21" formatCode="_(* #,##0_);_(* \(#,##0\);_(* &quot;-&quot;??_);_(@_)">
                  <c:v>142533</c:v>
                </c:pt>
                <c:pt idx="22" formatCode="_(* #,##0_);_(* \(#,##0\);_(* &quot;-&quot;??_);_(@_)">
                  <c:v>146026</c:v>
                </c:pt>
                <c:pt idx="23" formatCode="_(* #,##0_);_(* \(#,##0\);_(* &quot;-&quot;??_);_(@_)">
                  <c:v>149689</c:v>
                </c:pt>
                <c:pt idx="24" formatCode="_(* #,##0_);_(* \(#,##0\);_(* &quot;-&quot;??_);_(@_)">
                  <c:v>156063</c:v>
                </c:pt>
                <c:pt idx="25" formatCode="_(* #,##0_);_(* \(#,##0\);_(* &quot;-&quot;??_);_(@_)">
                  <c:v>166317</c:v>
                </c:pt>
                <c:pt idx="26" formatCode="_(* #,##0_);_(* \(#,##0\);_(* &quot;-&quot;??_);_(@_)">
                  <c:v>172806</c:v>
                </c:pt>
                <c:pt idx="27" formatCode="_(* #,##0_);_(* \(#,##0\);_(* &quot;-&quot;??_);_(@_)">
                  <c:v>184126</c:v>
                </c:pt>
                <c:pt idx="28" formatCode="_(* #,##0_);_(* \(#,##0\);_(* &quot;-&quot;??_);_(@_)">
                  <c:v>193334</c:v>
                </c:pt>
                <c:pt idx="29" formatCode="_(* #,##0_);_(* \(#,##0\);_(* &quot;-&quot;??_);_(@_)">
                  <c:v>201802</c:v>
                </c:pt>
                <c:pt idx="30" formatCode="_(* #,##0_);_(* \(#,##0\);_(* &quot;-&quot;??_);_(@_)">
                  <c:v>205000</c:v>
                </c:pt>
                <c:pt idx="31" formatCode="_(* #,##0_);_(* \(#,##0\);_(* &quot;-&quot;??_);_(@_)">
                  <c:v>207754</c:v>
                </c:pt>
                <c:pt idx="32" formatCode="_(* #,##0_);_(* \(#,##0\);_(* &quot;-&quot;??_);_(@_)">
                  <c:v>216362</c:v>
                </c:pt>
                <c:pt idx="33" formatCode="_(* #,##0_);_(* \(#,##0\);_(* &quot;-&quot;??_);_(@_)">
                  <c:v>223917</c:v>
                </c:pt>
                <c:pt idx="34" formatCode="_(* #,##0_);_(* \(#,##0\);_(* &quot;-&quot;??_);_(@_)">
                  <c:v>229685</c:v>
                </c:pt>
                <c:pt idx="35" formatCode="_(* #,##0_);_(* \(#,##0\);_(* &quot;-&quot;??_);_(@_)">
                  <c:v>246796</c:v>
                </c:pt>
                <c:pt idx="36">
                  <c:v>269593</c:v>
                </c:pt>
                <c:pt idx="37">
                  <c:v>294481</c:v>
                </c:pt>
                <c:pt idx="38">
                  <c:v>299991</c:v>
                </c:pt>
                <c:pt idx="39">
                  <c:v>304528</c:v>
                </c:pt>
              </c:numCache>
            </c:numRef>
          </c:val>
          <c:extLst>
            <c:ext xmlns:c16="http://schemas.microsoft.com/office/drawing/2014/chart" uri="{C3380CC4-5D6E-409C-BE32-E72D297353CC}">
              <c16:uniqueId val="{00000000-386F-D34C-B17A-94F61B386ECB}"/>
            </c:ext>
          </c:extLst>
        </c:ser>
        <c:ser>
          <c:idx val="1"/>
          <c:order val="1"/>
          <c:tx>
            <c:strRef>
              <c:f>'AWS Cost Graphed'!$A$4</c:f>
              <c:strCache>
                <c:ptCount val="1"/>
                <c:pt idx="0">
                  <c:v>AWS Cost</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t" anchorCtr="0">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'AWS Cost Graphed'!$B$1:$AO$2</c:f>
              <c:multiLvlStrCache>
                <c:ptCount val="40"/>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pt idx="13">
                    <c:v>MAY</c:v>
                  </c:pt>
                  <c:pt idx="14">
                    <c:v>JUN</c:v>
                  </c:pt>
                  <c:pt idx="15">
                    <c:v>JUL</c:v>
                  </c:pt>
                  <c:pt idx="16">
                    <c:v>AUG</c:v>
                  </c:pt>
                  <c:pt idx="17">
                    <c:v>SEP</c:v>
                  </c:pt>
                  <c:pt idx="18">
                    <c:v>OCT</c:v>
                  </c:pt>
                  <c:pt idx="19">
                    <c:v>NOV</c:v>
                  </c:pt>
                  <c:pt idx="20">
                    <c:v>DEC</c:v>
                  </c:pt>
                  <c:pt idx="21">
                    <c:v>JAN</c:v>
                  </c:pt>
                  <c:pt idx="22">
                    <c:v>FEB</c:v>
                  </c:pt>
                  <c:pt idx="23">
                    <c:v>MAR</c:v>
                  </c:pt>
                  <c:pt idx="24">
                    <c:v>APR</c:v>
                  </c:pt>
                  <c:pt idx="25">
                    <c:v>MAY</c:v>
                  </c:pt>
                  <c:pt idx="26">
                    <c:v>JUN</c:v>
                  </c:pt>
                  <c:pt idx="27">
                    <c:v>JUL</c:v>
                  </c:pt>
                  <c:pt idx="28">
                    <c:v>AUG</c:v>
                  </c:pt>
                  <c:pt idx="29">
                    <c:v>SEP</c:v>
                  </c:pt>
                  <c:pt idx="30">
                    <c:v>OCT</c:v>
                  </c:pt>
                  <c:pt idx="31">
                    <c:v>NOV</c:v>
                  </c:pt>
                  <c:pt idx="32">
                    <c:v>DEC</c:v>
                  </c:pt>
                  <c:pt idx="33">
                    <c:v>JAN</c:v>
                  </c:pt>
                  <c:pt idx="34">
                    <c:v>FEB</c:v>
                  </c:pt>
                  <c:pt idx="35">
                    <c:v>MAR</c:v>
                  </c:pt>
                  <c:pt idx="36">
                    <c:v>APR</c:v>
                  </c:pt>
                  <c:pt idx="37">
                    <c:v>MAY</c:v>
                  </c:pt>
                  <c:pt idx="38">
                    <c:v>JUN</c:v>
                  </c:pt>
                  <c:pt idx="39">
                    <c:v>JUL</c:v>
                  </c:pt>
                </c:lvl>
                <c:lvl>
                  <c:pt idx="0">
                    <c:v>FY22</c:v>
                  </c:pt>
                  <c:pt idx="12">
                    <c:v>FY23</c:v>
                  </c:pt>
                  <c:pt idx="24">
                    <c:v>FY24</c:v>
                  </c:pt>
                  <c:pt idx="36">
                    <c:v>FY25</c:v>
                  </c:pt>
                </c:lvl>
              </c:multiLvlStrCache>
            </c:multiLvlStrRef>
          </c:cat>
          <c:val>
            <c:numRef>
              <c:f>'AWS Cost Graphed'!$B$4:$AO$4</c:f>
              <c:numCache>
                <c:formatCode>_("$"* #,##0.00_);_("$"* \(#,##0.00\);_("$"* "-"??_);_(@_)</c:formatCode>
                <c:ptCount val="40"/>
                <c:pt idx="0">
                  <c:v>8494.0499999999993</c:v>
                </c:pt>
                <c:pt idx="1">
                  <c:v>7745.0999999999995</c:v>
                </c:pt>
                <c:pt idx="2">
                  <c:v>7467.82</c:v>
                </c:pt>
                <c:pt idx="3">
                  <c:v>7805.2599999999993</c:v>
                </c:pt>
                <c:pt idx="4">
                  <c:v>8730.130000000001</c:v>
                </c:pt>
                <c:pt idx="5">
                  <c:v>10729.32</c:v>
                </c:pt>
                <c:pt idx="6">
                  <c:v>10932.49</c:v>
                </c:pt>
                <c:pt idx="7">
                  <c:v>12432.84</c:v>
                </c:pt>
                <c:pt idx="8">
                  <c:v>12324.03</c:v>
                </c:pt>
                <c:pt idx="9">
                  <c:v>16203.34</c:v>
                </c:pt>
                <c:pt idx="10">
                  <c:v>17354.400000000001</c:v>
                </c:pt>
                <c:pt idx="11">
                  <c:v>16305</c:v>
                </c:pt>
                <c:pt idx="12">
                  <c:v>16394.16</c:v>
                </c:pt>
                <c:pt idx="13">
                  <c:v>15891.16</c:v>
                </c:pt>
                <c:pt idx="14">
                  <c:v>22413.49</c:v>
                </c:pt>
                <c:pt idx="15">
                  <c:v>19836.09</c:v>
                </c:pt>
                <c:pt idx="16">
                  <c:v>30198.21</c:v>
                </c:pt>
                <c:pt idx="17">
                  <c:v>34299.440000000002</c:v>
                </c:pt>
                <c:pt idx="18">
                  <c:v>31918.66</c:v>
                </c:pt>
                <c:pt idx="19">
                  <c:v>33947.300000000003</c:v>
                </c:pt>
                <c:pt idx="20">
                  <c:v>34260.46</c:v>
                </c:pt>
                <c:pt idx="21">
                  <c:v>29606.560000000001</c:v>
                </c:pt>
                <c:pt idx="22">
                  <c:v>31647.81</c:v>
                </c:pt>
                <c:pt idx="23">
                  <c:v>35050.03</c:v>
                </c:pt>
                <c:pt idx="24">
                  <c:v>47433.74</c:v>
                </c:pt>
                <c:pt idx="25">
                  <c:v>37064.800000000003</c:v>
                </c:pt>
                <c:pt idx="26">
                  <c:v>82792.92</c:v>
                </c:pt>
                <c:pt idx="27">
                  <c:v>57395.01</c:v>
                </c:pt>
                <c:pt idx="28">
                  <c:v>50593.760000000002</c:v>
                </c:pt>
                <c:pt idx="29">
                  <c:v>37218.78</c:v>
                </c:pt>
                <c:pt idx="30">
                  <c:v>35622.870000000003</c:v>
                </c:pt>
                <c:pt idx="31">
                  <c:v>30300.5</c:v>
                </c:pt>
                <c:pt idx="32">
                  <c:v>31771.56</c:v>
                </c:pt>
                <c:pt idx="33">
                  <c:v>32731.200000000001</c:v>
                </c:pt>
                <c:pt idx="34">
                  <c:v>22717.51</c:v>
                </c:pt>
                <c:pt idx="35">
                  <c:v>33627.65</c:v>
                </c:pt>
                <c:pt idx="36">
                  <c:v>35381.18</c:v>
                </c:pt>
                <c:pt idx="37">
                  <c:v>39890.720000000001</c:v>
                </c:pt>
                <c:pt idx="38">
                  <c:v>38431.53</c:v>
                </c:pt>
                <c:pt idx="39">
                  <c:v>38723.870000000003</c:v>
                </c:pt>
              </c:numCache>
            </c:numRef>
          </c:val>
          <c:extLst>
            <c:ext xmlns:c16="http://schemas.microsoft.com/office/drawing/2014/chart" uri="{C3380CC4-5D6E-409C-BE32-E72D297353CC}">
              <c16:uniqueId val="{00000001-386F-D34C-B17A-94F61B386ECB}"/>
            </c:ext>
          </c:extLst>
        </c:ser>
        <c:dLbls>
          <c:showLegendKey val="0"/>
          <c:showVal val="1"/>
          <c:showCatName val="0"/>
          <c:showSerName val="0"/>
          <c:showPercent val="0"/>
          <c:showBubbleSize val="0"/>
        </c:dLbls>
        <c:gapWidth val="150"/>
        <c:overlap val="-25"/>
        <c:axId val="454235376"/>
        <c:axId val="454237088"/>
      </c:barChart>
      <c:catAx>
        <c:axId val="45423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454237088"/>
        <c:crosses val="autoZero"/>
        <c:auto val="1"/>
        <c:lblAlgn val="ctr"/>
        <c:lblOffset val="100"/>
        <c:noMultiLvlLbl val="0"/>
      </c:catAx>
      <c:valAx>
        <c:axId val="454237088"/>
        <c:scaling>
          <c:orientation val="minMax"/>
        </c:scaling>
        <c:delete val="1"/>
        <c:axPos val="l"/>
        <c:numFmt formatCode="#,##0" sourceLinked="1"/>
        <c:majorTickMark val="none"/>
        <c:minorTickMark val="none"/>
        <c:tickLblPos val="nextTo"/>
        <c:crossAx val="45423537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379076</xdr:colOff>
      <xdr:row>10</xdr:row>
      <xdr:rowOff>19627</xdr:rowOff>
    </xdr:from>
    <xdr:to>
      <xdr:col>11</xdr:col>
      <xdr:colOff>161636</xdr:colOff>
      <xdr:row>29</xdr:row>
      <xdr:rowOff>150090</xdr:rowOff>
    </xdr:to>
    <xdr:graphicFrame macro="">
      <xdr:nvGraphicFramePr>
        <xdr:cNvPr id="2" name="Chart 1">
          <a:extLst>
            <a:ext uri="{FF2B5EF4-FFF2-40B4-BE49-F238E27FC236}">
              <a16:creationId xmlns:a16="http://schemas.microsoft.com/office/drawing/2014/main" id="{E1759606-EE78-A96A-FB37-40125F446D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473363</xdr:colOff>
      <xdr:row>10</xdr:row>
      <xdr:rowOff>31172</xdr:rowOff>
    </xdr:from>
    <xdr:to>
      <xdr:col>19</xdr:col>
      <xdr:colOff>236684</xdr:colOff>
      <xdr:row>29</xdr:row>
      <xdr:rowOff>150091</xdr:rowOff>
    </xdr:to>
    <xdr:graphicFrame macro="">
      <xdr:nvGraphicFramePr>
        <xdr:cNvPr id="4" name="Chart 3">
          <a:extLst>
            <a:ext uri="{FF2B5EF4-FFF2-40B4-BE49-F238E27FC236}">
              <a16:creationId xmlns:a16="http://schemas.microsoft.com/office/drawing/2014/main" id="{3F92D9B6-E362-652F-B47A-7CF695C217AF}"/>
            </a:ext>
            <a:ext uri="{147F2762-F138-4A5C-976F-8EAC2B608ADB}">
              <a16:predDERef xmlns:a16="http://schemas.microsoft.com/office/drawing/2014/main" pred="{E1759606-EE78-A96A-FB37-40125F446D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1149048</xdr:colOff>
      <xdr:row>8</xdr:row>
      <xdr:rowOff>146050</xdr:rowOff>
    </xdr:from>
    <xdr:to>
      <xdr:col>41</xdr:col>
      <xdr:colOff>0</xdr:colOff>
      <xdr:row>67</xdr:row>
      <xdr:rowOff>161290</xdr:rowOff>
    </xdr:to>
    <xdr:graphicFrame macro="">
      <xdr:nvGraphicFramePr>
        <xdr:cNvPr id="2" name="Chart 1">
          <a:extLst>
            <a:ext uri="{FF2B5EF4-FFF2-40B4-BE49-F238E27FC236}">
              <a16:creationId xmlns:a16="http://schemas.microsoft.com/office/drawing/2014/main" id="{3E759F09-FBB7-83DA-5A6E-CD90280CB1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Cahill, Jim P." id="{2881C392-B98E-BA4E-800D-F4E301198158}" userId="S::cahiljp@daikincomfort.com::6281b333-ec35-4af6-b280-9dab795b8f5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2" dT="2024-05-02T17:48:13.77" personId="{2881C392-B98E-BA4E-800D-F4E301198158}" id="{1C568E1B-A082-4E74-8591-5AAC7702DC7D}">
    <text>This is from the automated report “License Activation Report” provided by Softway Solutions.</text>
  </threadedComment>
</ThreadedComments>
</file>

<file path=xl/threadedComments/threadedComment2.xml><?xml version="1.0" encoding="utf-8"?>
<ThreadedComments xmlns="http://schemas.microsoft.com/office/spreadsheetml/2018/threadedcomments" xmlns:x="http://schemas.openxmlformats.org/spreadsheetml/2006/main">
  <threadedComment ref="A11" dT="2024-05-02T17:48:13.77" personId="{2881C392-B98E-BA4E-800D-F4E301198158}" id="{138616E9-980D-EF4E-B51B-B6666082C004}">
    <text>This is from the automated report “License Activation Report” provided by Softway Solutions.</text>
  </threadedComment>
</ThreadedComments>
</file>

<file path=xl/threadedComments/threadedComment3.xml><?xml version="1.0" encoding="utf-8"?>
<ThreadedComments xmlns="http://schemas.microsoft.com/office/spreadsheetml/2018/threadedcomments" xmlns:x="http://schemas.openxmlformats.org/spreadsheetml/2006/main">
  <threadedComment ref="A11" dT="2024-05-02T17:48:13.77" personId="{2881C392-B98E-BA4E-800D-F4E301198158}" id="{A95C39B0-3178-3547-B6F1-C89513C4541D}">
    <text>This is from the automated report “License Activation Report” provided by Softway Solutions.</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hyperlink" Target="https://prod-useast-b.online.tableau.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81046-4639-234D-87CF-6D2D04141E00}">
  <dimension ref="B1:J14"/>
  <sheetViews>
    <sheetView zoomScale="171" workbookViewId="0">
      <selection activeCell="D25" sqref="D25"/>
    </sheetView>
  </sheetViews>
  <sheetFormatPr baseColWidth="10" defaultColWidth="10.83203125" defaultRowHeight="15" x14ac:dyDescent="0.2"/>
  <cols>
    <col min="1" max="1" width="5.83203125" style="5" customWidth="1"/>
    <col min="2" max="2" width="12" style="5" bestFit="1" customWidth="1"/>
    <col min="3" max="3" width="49.33203125" style="5" bestFit="1" customWidth="1"/>
    <col min="4" max="16384" width="10.83203125" style="5"/>
  </cols>
  <sheetData>
    <row r="1" spans="2:10" ht="16" thickBot="1" x14ac:dyDescent="0.25"/>
    <row r="2" spans="2:10" ht="16" thickBot="1" x14ac:dyDescent="0.25">
      <c r="B2" s="104" t="s">
        <v>0</v>
      </c>
      <c r="C2" s="105" t="s">
        <v>1</v>
      </c>
      <c r="D2" s="105" t="s">
        <v>2</v>
      </c>
      <c r="E2" s="106" t="s">
        <v>3</v>
      </c>
    </row>
    <row r="3" spans="2:10" x14ac:dyDescent="0.2">
      <c r="B3" s="107" t="s">
        <v>4</v>
      </c>
      <c r="C3" s="103" t="s">
        <v>5</v>
      </c>
      <c r="D3" s="103">
        <v>1900220</v>
      </c>
      <c r="E3" s="108">
        <v>76410</v>
      </c>
    </row>
    <row r="4" spans="2:10" ht="16" thickBot="1" x14ac:dyDescent="0.25">
      <c r="B4" s="109" t="s">
        <v>6</v>
      </c>
      <c r="C4" s="110" t="s">
        <v>7</v>
      </c>
      <c r="D4" s="110">
        <v>1980230</v>
      </c>
      <c r="E4" s="111">
        <v>50075</v>
      </c>
    </row>
    <row r="12" spans="2:10" x14ac:dyDescent="0.2">
      <c r="D12" s="5">
        <v>220</v>
      </c>
    </row>
    <row r="13" spans="2:10" x14ac:dyDescent="0.2">
      <c r="C13" s="5">
        <v>3</v>
      </c>
    </row>
    <row r="14" spans="2:10" x14ac:dyDescent="0.2">
      <c r="J14" s="5">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ECBC5-E9B3-A941-BF6D-EA2F182E69DF}">
  <dimension ref="B1:O16"/>
  <sheetViews>
    <sheetView showGridLines="0" topLeftCell="A33" zoomScale="118" workbookViewId="0">
      <selection activeCell="C58" sqref="C58:C59"/>
    </sheetView>
  </sheetViews>
  <sheetFormatPr baseColWidth="10" defaultColWidth="11.5" defaultRowHeight="15" x14ac:dyDescent="0.2"/>
  <cols>
    <col min="2" max="2" width="17.83203125" customWidth="1"/>
    <col min="3" max="9" width="12.1640625" bestFit="1" customWidth="1"/>
    <col min="10" max="10" width="11.6640625" customWidth="1"/>
    <col min="11" max="11" width="13.1640625" customWidth="1"/>
    <col min="12" max="12" width="12.83203125" customWidth="1"/>
    <col min="15" max="15" width="14.1640625" customWidth="1"/>
  </cols>
  <sheetData>
    <row r="1" spans="2:15" x14ac:dyDescent="0.2">
      <c r="C1" s="61">
        <f>'FY25'!B1</f>
        <v>447756</v>
      </c>
    </row>
    <row r="2" spans="2:15" ht="16" thickBot="1" x14ac:dyDescent="0.25"/>
    <row r="3" spans="2:15" ht="16" thickBot="1" x14ac:dyDescent="0.25">
      <c r="B3" s="1"/>
      <c r="C3" s="74" t="s">
        <v>8</v>
      </c>
      <c r="D3" s="74" t="s">
        <v>9</v>
      </c>
      <c r="E3" s="74" t="s">
        <v>10</v>
      </c>
      <c r="F3" s="74" t="s">
        <v>11</v>
      </c>
      <c r="G3" s="74" t="s">
        <v>12</v>
      </c>
      <c r="H3" s="74" t="s">
        <v>13</v>
      </c>
      <c r="I3" s="74" t="s">
        <v>14</v>
      </c>
      <c r="J3" s="74" t="s">
        <v>15</v>
      </c>
      <c r="K3" s="74" t="s">
        <v>16</v>
      </c>
      <c r="L3" s="74" t="s">
        <v>17</v>
      </c>
      <c r="M3" s="74" t="s">
        <v>18</v>
      </c>
      <c r="N3" s="74" t="s">
        <v>19</v>
      </c>
      <c r="O3" s="74" t="s">
        <v>20</v>
      </c>
    </row>
    <row r="4" spans="2:15" hidden="1" x14ac:dyDescent="0.2">
      <c r="B4" s="127" t="s">
        <v>21</v>
      </c>
      <c r="C4" s="133">
        <v>15439</v>
      </c>
      <c r="D4" s="133">
        <v>18909</v>
      </c>
      <c r="E4" s="133">
        <v>21066</v>
      </c>
      <c r="F4" s="133">
        <v>20739</v>
      </c>
      <c r="G4" s="133">
        <v>15453</v>
      </c>
      <c r="H4" s="133">
        <v>12025</v>
      </c>
      <c r="I4" s="133">
        <v>12748</v>
      </c>
      <c r="J4" s="133">
        <v>9150</v>
      </c>
      <c r="K4" s="133"/>
      <c r="L4" s="133"/>
      <c r="M4" s="133"/>
      <c r="N4" s="133"/>
      <c r="O4" s="128">
        <f>SUM(C4:N4)</f>
        <v>125529</v>
      </c>
    </row>
    <row r="5" spans="2:15" hidden="1" x14ac:dyDescent="0.2">
      <c r="B5" s="129" t="s">
        <v>22</v>
      </c>
      <c r="C5" s="128">
        <f>C4+C1</f>
        <v>463195</v>
      </c>
      <c r="D5" s="128">
        <f t="shared" ref="D5:N5" si="0">C5+D4</f>
        <v>482104</v>
      </c>
      <c r="E5" s="128">
        <f t="shared" si="0"/>
        <v>503170</v>
      </c>
      <c r="F5" s="128">
        <f t="shared" si="0"/>
        <v>523909</v>
      </c>
      <c r="G5" s="128">
        <f t="shared" si="0"/>
        <v>539362</v>
      </c>
      <c r="H5" s="128">
        <f t="shared" si="0"/>
        <v>551387</v>
      </c>
      <c r="I5" s="128">
        <f t="shared" si="0"/>
        <v>564135</v>
      </c>
      <c r="J5" s="128">
        <f t="shared" si="0"/>
        <v>573285</v>
      </c>
      <c r="K5" s="128">
        <f t="shared" si="0"/>
        <v>573285</v>
      </c>
      <c r="L5" s="128">
        <f t="shared" si="0"/>
        <v>573285</v>
      </c>
      <c r="M5" s="128">
        <f t="shared" si="0"/>
        <v>573285</v>
      </c>
      <c r="N5" s="128">
        <f t="shared" si="0"/>
        <v>573285</v>
      </c>
      <c r="O5" s="128"/>
    </row>
    <row r="6" spans="2:15" hidden="1" x14ac:dyDescent="0.2">
      <c r="B6" s="129" t="s">
        <v>23</v>
      </c>
      <c r="C6" s="134">
        <v>269593</v>
      </c>
      <c r="D6" s="134">
        <v>294481</v>
      </c>
      <c r="E6" s="134">
        <v>299991</v>
      </c>
      <c r="F6" s="134">
        <v>304528</v>
      </c>
      <c r="G6" s="134">
        <v>294532</v>
      </c>
      <c r="H6" s="134">
        <v>302743</v>
      </c>
      <c r="I6" s="134">
        <v>311895</v>
      </c>
      <c r="J6" s="134">
        <v>318949</v>
      </c>
      <c r="K6" s="134"/>
      <c r="L6" s="134"/>
      <c r="M6" s="134"/>
      <c r="N6" s="134"/>
      <c r="O6" s="128"/>
    </row>
    <row r="7" spans="2:15" x14ac:dyDescent="0.2">
      <c r="B7" s="129" t="s">
        <v>24</v>
      </c>
      <c r="C7" s="131">
        <v>35381.18</v>
      </c>
      <c r="D7" s="131">
        <v>39890.720000000001</v>
      </c>
      <c r="E7" s="131">
        <v>38431.53</v>
      </c>
      <c r="F7" s="131">
        <v>38723.870000000003</v>
      </c>
      <c r="G7" s="131">
        <v>40085.300000000003</v>
      </c>
      <c r="H7" s="131">
        <v>38310.35</v>
      </c>
      <c r="I7" s="131">
        <f>36571.46+150.31</f>
        <v>36721.769999999997</v>
      </c>
      <c r="J7" s="131">
        <f>'FY25'!I7</f>
        <v>42241.7</v>
      </c>
      <c r="K7" s="142">
        <f>'FY25'!J7</f>
        <v>17017.5</v>
      </c>
      <c r="L7" s="131">
        <f>'FY25'!K7</f>
        <v>55217.229999999996</v>
      </c>
      <c r="M7" s="131"/>
      <c r="N7" s="131"/>
      <c r="O7" s="130">
        <f>SUM(C7:N7)</f>
        <v>382021.14999999997</v>
      </c>
    </row>
    <row r="8" spans="2:15" x14ac:dyDescent="0.2">
      <c r="B8" s="129" t="s">
        <v>25</v>
      </c>
      <c r="C8" s="131">
        <v>95495.13</v>
      </c>
      <c r="D8" s="131">
        <v>90495.13</v>
      </c>
      <c r="E8" s="131">
        <v>94021.9</v>
      </c>
      <c r="F8" s="131">
        <v>105960.37</v>
      </c>
      <c r="G8" s="131">
        <v>122230.54</v>
      </c>
      <c r="H8" s="131">
        <v>121662.25</v>
      </c>
      <c r="I8" s="131">
        <v>117958.94</v>
      </c>
      <c r="J8" s="139">
        <v>126325.85</v>
      </c>
      <c r="K8" s="139">
        <v>121706.71</v>
      </c>
      <c r="L8" s="139">
        <v>133108.79</v>
      </c>
      <c r="M8" s="132"/>
      <c r="N8" s="132"/>
      <c r="O8" s="130">
        <f>SUM(C8:N8)</f>
        <v>1128965.6099999999</v>
      </c>
    </row>
    <row r="9" spans="2:15" x14ac:dyDescent="0.2">
      <c r="B9" s="129" t="s">
        <v>26</v>
      </c>
      <c r="C9" s="130">
        <f>SUM(C7:C8)</f>
        <v>130876.31</v>
      </c>
      <c r="D9" s="130">
        <f t="shared" ref="D9:O9" si="1">SUM(D7:D8)</f>
        <v>130385.85</v>
      </c>
      <c r="E9" s="130">
        <f t="shared" si="1"/>
        <v>132453.43</v>
      </c>
      <c r="F9" s="130">
        <f t="shared" si="1"/>
        <v>144684.24</v>
      </c>
      <c r="G9" s="130">
        <f t="shared" si="1"/>
        <v>162315.84</v>
      </c>
      <c r="H9" s="130">
        <f t="shared" si="1"/>
        <v>159972.6</v>
      </c>
      <c r="I9" s="130">
        <f t="shared" si="1"/>
        <v>154680.71</v>
      </c>
      <c r="J9" s="130">
        <f t="shared" si="1"/>
        <v>168567.55</v>
      </c>
      <c r="K9" s="130">
        <f t="shared" si="1"/>
        <v>138724.21000000002</v>
      </c>
      <c r="L9" s="130">
        <f t="shared" si="1"/>
        <v>188326.02000000002</v>
      </c>
      <c r="M9" s="130">
        <f t="shared" si="1"/>
        <v>0</v>
      </c>
      <c r="N9" s="130">
        <f t="shared" si="1"/>
        <v>0</v>
      </c>
      <c r="O9" s="130">
        <f t="shared" si="1"/>
        <v>1510986.7599999998</v>
      </c>
    </row>
    <row r="10" spans="2:15" hidden="1" x14ac:dyDescent="0.2">
      <c r="B10" s="129" t="s">
        <v>27</v>
      </c>
      <c r="C10" s="130">
        <f>C7/C6</f>
        <v>0.13123923840752541</v>
      </c>
      <c r="D10" s="130">
        <f t="shared" ref="D10:N10" si="2">D7/D6</f>
        <v>0.1354610993578533</v>
      </c>
      <c r="E10" s="130">
        <f t="shared" si="2"/>
        <v>0.12810894326829805</v>
      </c>
      <c r="F10" s="130">
        <f t="shared" si="2"/>
        <v>0.12716029396311671</v>
      </c>
      <c r="G10" s="130">
        <f t="shared" si="2"/>
        <v>0.13609828473646329</v>
      </c>
      <c r="H10" s="130">
        <f t="shared" si="2"/>
        <v>0.12654413149106666</v>
      </c>
      <c r="I10" s="130">
        <f t="shared" si="2"/>
        <v>0.1177376040013466</v>
      </c>
      <c r="J10" s="130">
        <f t="shared" si="2"/>
        <v>0.13244029609749519</v>
      </c>
      <c r="K10" s="130" t="e">
        <f t="shared" si="2"/>
        <v>#DIV/0!</v>
      </c>
      <c r="L10" s="130" t="e">
        <f t="shared" si="2"/>
        <v>#DIV/0!</v>
      </c>
      <c r="M10" s="130" t="e">
        <f t="shared" si="2"/>
        <v>#DIV/0!</v>
      </c>
      <c r="N10" s="130" t="e">
        <f t="shared" si="2"/>
        <v>#DIV/0!</v>
      </c>
      <c r="O10" s="132"/>
    </row>
    <row r="11" spans="2:15" hidden="1" x14ac:dyDescent="0.2">
      <c r="B11" s="129" t="s">
        <v>28</v>
      </c>
      <c r="C11" s="131">
        <f>C8/C6</f>
        <v>0.35421961994562173</v>
      </c>
      <c r="D11" s="131">
        <f t="shared" ref="D11:N11" si="3">D8/D6</f>
        <v>0.30730379888685522</v>
      </c>
      <c r="E11" s="131">
        <f t="shared" si="3"/>
        <v>0.31341573580540749</v>
      </c>
      <c r="F11" s="131">
        <f t="shared" si="3"/>
        <v>0.34794951531550461</v>
      </c>
      <c r="G11" s="131">
        <f t="shared" si="3"/>
        <v>0.41499918514796352</v>
      </c>
      <c r="H11" s="131">
        <f t="shared" si="3"/>
        <v>0.40186643456661258</v>
      </c>
      <c r="I11" s="131">
        <f t="shared" si="3"/>
        <v>0.37820080475801154</v>
      </c>
      <c r="J11" s="131">
        <f t="shared" si="3"/>
        <v>0.39606912076852413</v>
      </c>
      <c r="K11" s="131" t="e">
        <f t="shared" si="3"/>
        <v>#DIV/0!</v>
      </c>
      <c r="L11" s="131" t="e">
        <f t="shared" si="3"/>
        <v>#DIV/0!</v>
      </c>
      <c r="M11" s="131" t="e">
        <f t="shared" si="3"/>
        <v>#DIV/0!</v>
      </c>
      <c r="N11" s="131" t="e">
        <f t="shared" si="3"/>
        <v>#DIV/0!</v>
      </c>
      <c r="O11" s="131"/>
    </row>
    <row r="12" spans="2:15" hidden="1" x14ac:dyDescent="0.2">
      <c r="B12" s="129" t="s">
        <v>29</v>
      </c>
      <c r="C12" s="131">
        <f>C11+C10</f>
        <v>0.48545885835314717</v>
      </c>
      <c r="D12" s="131">
        <f t="shared" ref="D12:N12" si="4">D11+D10</f>
        <v>0.44276489824470855</v>
      </c>
      <c r="E12" s="131">
        <f t="shared" si="4"/>
        <v>0.44152467907370552</v>
      </c>
      <c r="F12" s="131">
        <f t="shared" si="4"/>
        <v>0.47510980927862134</v>
      </c>
      <c r="G12" s="131">
        <f t="shared" si="4"/>
        <v>0.55109746988442687</v>
      </c>
      <c r="H12" s="131">
        <f t="shared" si="4"/>
        <v>0.52841056605767922</v>
      </c>
      <c r="I12" s="131">
        <f t="shared" si="4"/>
        <v>0.49593840875935813</v>
      </c>
      <c r="J12" s="131">
        <f t="shared" si="4"/>
        <v>0.52850941686601938</v>
      </c>
      <c r="K12" s="131" t="e">
        <f t="shared" si="4"/>
        <v>#DIV/0!</v>
      </c>
      <c r="L12" s="131" t="e">
        <f t="shared" si="4"/>
        <v>#DIV/0!</v>
      </c>
      <c r="M12" s="131" t="e">
        <f t="shared" si="4"/>
        <v>#DIV/0!</v>
      </c>
      <c r="N12" s="131" t="e">
        <f t="shared" si="4"/>
        <v>#DIV/0!</v>
      </c>
      <c r="O12" s="131"/>
    </row>
    <row r="13" spans="2:15" hidden="1" x14ac:dyDescent="0.2">
      <c r="B13" s="129" t="s">
        <v>30</v>
      </c>
      <c r="C13" s="135">
        <f>C6/C5</f>
        <v>0.58202916698150886</v>
      </c>
      <c r="D13" s="135">
        <f t="shared" ref="D13:N13" si="5">D6/D5</f>
        <v>0.6108246353483896</v>
      </c>
      <c r="E13" s="135">
        <f t="shared" si="5"/>
        <v>0.59620207882027942</v>
      </c>
      <c r="F13" s="135">
        <f t="shared" si="5"/>
        <v>0.58126124956815017</v>
      </c>
      <c r="G13" s="135">
        <f t="shared" si="5"/>
        <v>0.54607480690148735</v>
      </c>
      <c r="H13" s="135">
        <f t="shared" si="5"/>
        <v>0.54905719576268575</v>
      </c>
      <c r="I13" s="135">
        <f t="shared" si="5"/>
        <v>0.55287298253077721</v>
      </c>
      <c r="J13" s="135">
        <f t="shared" si="5"/>
        <v>0.5563532972256382</v>
      </c>
      <c r="K13" s="135">
        <f t="shared" si="5"/>
        <v>0</v>
      </c>
      <c r="L13" s="135">
        <f t="shared" si="5"/>
        <v>0</v>
      </c>
      <c r="M13" s="135">
        <f t="shared" si="5"/>
        <v>0</v>
      </c>
      <c r="N13" s="135">
        <f t="shared" si="5"/>
        <v>0</v>
      </c>
      <c r="O13" s="132"/>
    </row>
    <row r="15" spans="2:15" x14ac:dyDescent="0.2">
      <c r="B15" t="s">
        <v>31</v>
      </c>
      <c r="C15" s="140">
        <v>1</v>
      </c>
      <c r="D15" s="141">
        <f>D9/C9</f>
        <v>0.99625249214315414</v>
      </c>
      <c r="E15" s="141">
        <f t="shared" ref="E15:L15" si="6">E9/D9</f>
        <v>1.0158573955686141</v>
      </c>
      <c r="F15" s="141">
        <f t="shared" si="6"/>
        <v>1.0923404550565432</v>
      </c>
      <c r="G15" s="141">
        <f t="shared" si="6"/>
        <v>1.1218626161356622</v>
      </c>
      <c r="H15" s="141">
        <f t="shared" si="6"/>
        <v>0.98556370099184409</v>
      </c>
      <c r="I15" s="141">
        <f t="shared" si="6"/>
        <v>0.96692002255386222</v>
      </c>
      <c r="J15" s="141">
        <f t="shared" si="6"/>
        <v>1.0897774518878276</v>
      </c>
      <c r="K15" s="143">
        <f t="shared" si="6"/>
        <v>0.82295916384855827</v>
      </c>
      <c r="L15" s="141">
        <f t="shared" si="6"/>
        <v>1.3575569830240879</v>
      </c>
    </row>
    <row r="16" spans="2:15" x14ac:dyDescent="0.2">
      <c r="B16" t="s">
        <v>32</v>
      </c>
      <c r="C16" s="140">
        <v>1</v>
      </c>
      <c r="D16" s="141">
        <f>D9/$C$9</f>
        <v>0.99625249214315414</v>
      </c>
      <c r="E16" s="141">
        <f t="shared" ref="E16:L16" si="7">E9/$C$9</f>
        <v>1.0120504619972859</v>
      </c>
      <c r="F16" s="141">
        <f t="shared" si="7"/>
        <v>1.1055036621983001</v>
      </c>
      <c r="G16" s="141">
        <f t="shared" si="7"/>
        <v>1.2402232306213401</v>
      </c>
      <c r="H16" s="141">
        <f t="shared" si="7"/>
        <v>1.2223189972272293</v>
      </c>
      <c r="I16" s="141">
        <f t="shared" si="7"/>
        <v>1.1818847123669669</v>
      </c>
      <c r="J16" s="141">
        <f t="shared" si="7"/>
        <v>1.287991310268451</v>
      </c>
      <c r="K16" s="141">
        <f t="shared" si="7"/>
        <v>1.0599642517427335</v>
      </c>
      <c r="L16" s="141">
        <f t="shared" si="7"/>
        <v>1.4389618717092498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DF41F-1FC9-4176-ABE5-41DD99DA4F1F}">
  <dimension ref="A1:T27"/>
  <sheetViews>
    <sheetView zoomScale="138" zoomScaleNormal="140" workbookViewId="0">
      <selection activeCell="B48" sqref="B48"/>
    </sheetView>
  </sheetViews>
  <sheetFormatPr baseColWidth="10" defaultColWidth="10.83203125" defaultRowHeight="15" x14ac:dyDescent="0.2"/>
  <cols>
    <col min="1" max="1" width="43.5" style="5" bestFit="1" customWidth="1"/>
    <col min="2" max="7" width="11.1640625" style="5" bestFit="1" customWidth="1"/>
    <col min="8" max="10" width="11.1640625" style="5" customWidth="1"/>
    <col min="11" max="13" width="11.1640625" style="5" bestFit="1" customWidth="1"/>
    <col min="14" max="14" width="12.1640625" style="5" bestFit="1" customWidth="1"/>
    <col min="15" max="16384" width="10.83203125" style="5"/>
  </cols>
  <sheetData>
    <row r="1" spans="1:16" x14ac:dyDescent="0.2">
      <c r="A1" s="31" t="s">
        <v>33</v>
      </c>
      <c r="B1" s="32">
        <f>'FY24'!M5</f>
        <v>447756</v>
      </c>
    </row>
    <row r="3" spans="1:16" x14ac:dyDescent="0.2">
      <c r="A3" s="1"/>
      <c r="B3" s="2" t="s">
        <v>8</v>
      </c>
      <c r="C3" s="2" t="s">
        <v>9</v>
      </c>
      <c r="D3" s="2" t="s">
        <v>10</v>
      </c>
      <c r="E3" s="2" t="s">
        <v>11</v>
      </c>
      <c r="F3" s="2" t="s">
        <v>12</v>
      </c>
      <c r="G3" s="3" t="s">
        <v>13</v>
      </c>
      <c r="H3" s="3" t="s">
        <v>14</v>
      </c>
      <c r="I3" s="3" t="s">
        <v>15</v>
      </c>
      <c r="J3" s="3" t="s">
        <v>16</v>
      </c>
      <c r="K3" s="2" t="s">
        <v>17</v>
      </c>
      <c r="L3" s="3" t="s">
        <v>18</v>
      </c>
      <c r="M3" s="2" t="s">
        <v>19</v>
      </c>
      <c r="N3" s="74" t="s">
        <v>20</v>
      </c>
    </row>
    <row r="4" spans="1:16" x14ac:dyDescent="0.2">
      <c r="A4" s="49" t="s">
        <v>21</v>
      </c>
      <c r="B4" s="42">
        <v>15439</v>
      </c>
      <c r="C4" s="7">
        <v>18909</v>
      </c>
      <c r="D4" s="42">
        <v>21066</v>
      </c>
      <c r="E4" s="42">
        <v>20739</v>
      </c>
      <c r="F4" s="7">
        <v>15453</v>
      </c>
      <c r="G4" s="7">
        <v>12025</v>
      </c>
      <c r="H4" s="7">
        <v>12748</v>
      </c>
      <c r="I4" s="42">
        <v>9042</v>
      </c>
      <c r="J4" s="42">
        <v>13399</v>
      </c>
      <c r="K4" s="7">
        <v>11424</v>
      </c>
      <c r="L4" s="42">
        <v>12064</v>
      </c>
      <c r="M4" s="7"/>
      <c r="N4" s="70">
        <f>SUM(B4:M4)</f>
        <v>162308</v>
      </c>
    </row>
    <row r="5" spans="1:16" x14ac:dyDescent="0.2">
      <c r="A5" s="11" t="s">
        <v>22</v>
      </c>
      <c r="B5" s="13">
        <f>B4+B1</f>
        <v>463195</v>
      </c>
      <c r="C5" s="13">
        <f t="shared" ref="C5:M5" si="0">B5+C4</f>
        <v>482104</v>
      </c>
      <c r="D5" s="13">
        <f t="shared" si="0"/>
        <v>503170</v>
      </c>
      <c r="E5" s="13">
        <f t="shared" si="0"/>
        <v>523909</v>
      </c>
      <c r="F5" s="13">
        <f t="shared" si="0"/>
        <v>539362</v>
      </c>
      <c r="G5" s="13">
        <f t="shared" si="0"/>
        <v>551387</v>
      </c>
      <c r="H5" s="13">
        <f t="shared" si="0"/>
        <v>564135</v>
      </c>
      <c r="I5" s="13">
        <f t="shared" si="0"/>
        <v>573177</v>
      </c>
      <c r="J5" s="13">
        <f t="shared" si="0"/>
        <v>586576</v>
      </c>
      <c r="K5" s="13">
        <f t="shared" si="0"/>
        <v>598000</v>
      </c>
      <c r="L5" s="13">
        <f t="shared" si="0"/>
        <v>610064</v>
      </c>
      <c r="M5" s="13">
        <f t="shared" si="0"/>
        <v>610064</v>
      </c>
      <c r="N5" s="71"/>
    </row>
    <row r="6" spans="1:16" x14ac:dyDescent="0.2">
      <c r="A6" s="6" t="s">
        <v>23</v>
      </c>
      <c r="B6" s="8">
        <v>269593</v>
      </c>
      <c r="C6" s="8">
        <v>294481</v>
      </c>
      <c r="D6" s="8">
        <v>299991</v>
      </c>
      <c r="E6" s="8">
        <v>304528</v>
      </c>
      <c r="F6" s="8">
        <v>294532</v>
      </c>
      <c r="G6" s="8">
        <v>302743</v>
      </c>
      <c r="H6" s="8">
        <v>311895</v>
      </c>
      <c r="I6" s="9">
        <v>318949</v>
      </c>
      <c r="J6" s="9">
        <v>328155</v>
      </c>
      <c r="K6" s="8">
        <v>335302</v>
      </c>
      <c r="L6" s="9">
        <v>341229</v>
      </c>
      <c r="M6" s="8"/>
      <c r="N6" s="70"/>
      <c r="P6" s="112"/>
    </row>
    <row r="7" spans="1:16" x14ac:dyDescent="0.2">
      <c r="A7" s="6"/>
      <c r="B7" s="8">
        <f>-'FY24'!M6+FY25_PB!B6</f>
        <v>22797</v>
      </c>
      <c r="C7" s="8">
        <f>C6-B6</f>
        <v>24888</v>
      </c>
      <c r="D7" s="8">
        <f t="shared" ref="D7:L7" si="1">D6-C6</f>
        <v>5510</v>
      </c>
      <c r="E7" s="8">
        <f t="shared" si="1"/>
        <v>4537</v>
      </c>
      <c r="F7" s="8">
        <f t="shared" si="1"/>
        <v>-9996</v>
      </c>
      <c r="G7" s="8">
        <f t="shared" si="1"/>
        <v>8211</v>
      </c>
      <c r="H7" s="8">
        <f t="shared" si="1"/>
        <v>9152</v>
      </c>
      <c r="I7" s="8">
        <f t="shared" si="1"/>
        <v>7054</v>
      </c>
      <c r="J7" s="8">
        <f t="shared" si="1"/>
        <v>9206</v>
      </c>
      <c r="K7" s="8">
        <f t="shared" si="1"/>
        <v>7147</v>
      </c>
      <c r="L7" s="8">
        <f t="shared" si="1"/>
        <v>5927</v>
      </c>
      <c r="M7" s="8"/>
      <c r="N7" s="70"/>
      <c r="P7" s="112"/>
    </row>
    <row r="8" spans="1:16" x14ac:dyDescent="0.2">
      <c r="A8" s="11" t="s">
        <v>34</v>
      </c>
      <c r="B8" s="15">
        <v>35381.18</v>
      </c>
      <c r="C8" s="15">
        <v>39890.720000000001</v>
      </c>
      <c r="D8" s="15">
        <v>38431.53</v>
      </c>
      <c r="E8" s="15">
        <v>38723.870000000003</v>
      </c>
      <c r="F8" s="15">
        <v>40085.300000000003</v>
      </c>
      <c r="G8" s="15">
        <v>38310.35</v>
      </c>
      <c r="H8" s="15">
        <f>36571.46+150.31</f>
        <v>36721.769999999997</v>
      </c>
      <c r="I8" s="16">
        <f>35017.42+7224.28</f>
        <v>42241.7</v>
      </c>
      <c r="J8" s="16">
        <f>6225.32+10792.18</f>
        <v>17017.5</v>
      </c>
      <c r="K8" s="15">
        <f>45677.6+9539.63</f>
        <v>55217.229999999996</v>
      </c>
      <c r="L8" s="16">
        <f>1231.23+33781.29</f>
        <v>35012.520000000004</v>
      </c>
      <c r="M8" s="15"/>
      <c r="N8" s="72">
        <f>SUM(B8:M8)</f>
        <v>417033.67</v>
      </c>
    </row>
    <row r="9" spans="1:16" x14ac:dyDescent="0.2">
      <c r="A9" s="6" t="s">
        <v>35</v>
      </c>
      <c r="B9" s="18">
        <f t="shared" ref="B9:L9" si="2">B8/B6</f>
        <v>0.13123923840752541</v>
      </c>
      <c r="C9" s="18">
        <f t="shared" si="2"/>
        <v>0.1354610993578533</v>
      </c>
      <c r="D9" s="18">
        <f t="shared" si="2"/>
        <v>0.12810894326829805</v>
      </c>
      <c r="E9" s="18">
        <f t="shared" si="2"/>
        <v>0.12716029396311671</v>
      </c>
      <c r="F9" s="18">
        <f t="shared" si="2"/>
        <v>0.13609828473646329</v>
      </c>
      <c r="G9" s="18">
        <f t="shared" si="2"/>
        <v>0.12654413149106666</v>
      </c>
      <c r="H9" s="18">
        <f t="shared" si="2"/>
        <v>0.1177376040013466</v>
      </c>
      <c r="I9" s="18">
        <f t="shared" si="2"/>
        <v>0.13244029609749519</v>
      </c>
      <c r="J9" s="18">
        <f t="shared" si="2"/>
        <v>5.1858115829409884E-2</v>
      </c>
      <c r="K9" s="18">
        <f t="shared" si="2"/>
        <v>0.16467909526337449</v>
      </c>
      <c r="L9" s="18">
        <f t="shared" si="2"/>
        <v>0.10260710549220613</v>
      </c>
      <c r="M9" s="18" t="e">
        <f>M8/M6</f>
        <v>#DIV/0!</v>
      </c>
      <c r="N9" s="73" t="e">
        <f>N8/M6</f>
        <v>#DIV/0!</v>
      </c>
    </row>
    <row r="10" spans="1:16" x14ac:dyDescent="0.2">
      <c r="A10" s="11" t="s">
        <v>30</v>
      </c>
      <c r="B10" s="56">
        <f t="shared" ref="B10:M10" si="3">B6/B5</f>
        <v>0.58202916698150886</v>
      </c>
      <c r="C10" s="56">
        <f t="shared" si="3"/>
        <v>0.6108246353483896</v>
      </c>
      <c r="D10" s="56">
        <f t="shared" si="3"/>
        <v>0.59620207882027942</v>
      </c>
      <c r="E10" s="56">
        <f t="shared" si="3"/>
        <v>0.58126124956815017</v>
      </c>
      <c r="F10" s="56">
        <f t="shared" si="3"/>
        <v>0.54607480690148735</v>
      </c>
      <c r="G10" s="56">
        <f t="shared" si="3"/>
        <v>0.54905719576268575</v>
      </c>
      <c r="H10" s="56">
        <f t="shared" si="3"/>
        <v>0.55287298253077721</v>
      </c>
      <c r="I10" s="56">
        <f t="shared" si="3"/>
        <v>0.55645812724516164</v>
      </c>
      <c r="J10" s="56">
        <f t="shared" si="3"/>
        <v>0.55944157278852191</v>
      </c>
      <c r="K10" s="56">
        <f t="shared" si="3"/>
        <v>0.56070568561872913</v>
      </c>
      <c r="L10" s="56">
        <f t="shared" si="3"/>
        <v>0.55933311914815498</v>
      </c>
      <c r="M10" s="56">
        <f t="shared" si="3"/>
        <v>0</v>
      </c>
      <c r="N10" s="69"/>
    </row>
    <row r="11" spans="1:16" x14ac:dyDescent="0.2">
      <c r="A11" s="6" t="s">
        <v>36</v>
      </c>
      <c r="B11" s="57">
        <v>680</v>
      </c>
      <c r="C11" s="57">
        <v>730</v>
      </c>
      <c r="D11" s="57">
        <v>827</v>
      </c>
      <c r="E11" s="57">
        <v>954</v>
      </c>
      <c r="F11" s="57">
        <v>856</v>
      </c>
      <c r="G11" s="57">
        <v>707</v>
      </c>
      <c r="H11" s="57">
        <v>847</v>
      </c>
      <c r="I11" s="57">
        <v>873</v>
      </c>
      <c r="J11" s="57">
        <v>977</v>
      </c>
      <c r="K11" s="57">
        <v>962</v>
      </c>
      <c r="L11" s="57">
        <v>1014</v>
      </c>
      <c r="M11" s="57"/>
      <c r="N11" s="75">
        <f>SUM(B11:M11)</f>
        <v>9427</v>
      </c>
    </row>
    <row r="12" spans="1:16" x14ac:dyDescent="0.2">
      <c r="A12" s="23" t="s">
        <v>37</v>
      </c>
      <c r="B12" s="39">
        <v>10265</v>
      </c>
      <c r="C12" s="39">
        <v>10400</v>
      </c>
      <c r="D12" s="39">
        <v>10584</v>
      </c>
      <c r="E12" s="39">
        <v>10720</v>
      </c>
      <c r="F12" s="39">
        <v>10917</v>
      </c>
      <c r="G12" s="39">
        <v>11076</v>
      </c>
      <c r="H12" s="39">
        <v>11280</v>
      </c>
      <c r="I12" s="39">
        <v>11521</v>
      </c>
      <c r="J12" s="39">
        <v>11833</v>
      </c>
      <c r="K12" s="39">
        <v>11963</v>
      </c>
      <c r="L12" s="39">
        <v>12165</v>
      </c>
      <c r="M12" s="39"/>
      <c r="N12" s="76"/>
    </row>
    <row r="13" spans="1:16" x14ac:dyDescent="0.2">
      <c r="A13" s="27" t="s">
        <v>38</v>
      </c>
      <c r="B13" s="28">
        <f>B9*B12</f>
        <v>1347.1707822532483</v>
      </c>
      <c r="C13" s="28">
        <f>C9*C12</f>
        <v>1408.7954333216744</v>
      </c>
      <c r="D13" s="28">
        <f t="shared" ref="D13:L13" si="4">D9*D12</f>
        <v>1355.9050555516667</v>
      </c>
      <c r="E13" s="28">
        <f t="shared" si="4"/>
        <v>1363.1583512846112</v>
      </c>
      <c r="F13" s="28">
        <f>F9*F12</f>
        <v>1485.7849744679697</v>
      </c>
      <c r="G13" s="28">
        <f t="shared" si="4"/>
        <v>1401.6028003950544</v>
      </c>
      <c r="H13" s="28">
        <f t="shared" si="4"/>
        <v>1328.0801731351896</v>
      </c>
      <c r="I13" s="28">
        <f t="shared" si="4"/>
        <v>1525.8446513392421</v>
      </c>
      <c r="J13" s="28">
        <f t="shared" si="4"/>
        <v>613.63708460940711</v>
      </c>
      <c r="K13" s="28">
        <f t="shared" si="4"/>
        <v>1970.0560166357491</v>
      </c>
      <c r="L13" s="28">
        <f t="shared" si="4"/>
        <v>1248.2154383126876</v>
      </c>
      <c r="M13" s="28" t="e">
        <f>M9*M12</f>
        <v>#DIV/0!</v>
      </c>
      <c r="N13" s="77" t="e">
        <f>SUM(B13:M13)</f>
        <v>#DIV/0!</v>
      </c>
    </row>
    <row r="15" spans="1:16" x14ac:dyDescent="0.2">
      <c r="A15" s="52" t="s">
        <v>39</v>
      </c>
      <c r="B15" s="54">
        <f>B8-B13</f>
        <v>34034.009217746752</v>
      </c>
      <c r="C15" s="54">
        <f t="shared" ref="C15:M15" si="5">C8-C13</f>
        <v>38481.924566678324</v>
      </c>
      <c r="D15" s="54">
        <f t="shared" si="5"/>
        <v>37075.624944448333</v>
      </c>
      <c r="E15" s="54">
        <f t="shared" si="5"/>
        <v>37360.711648715391</v>
      </c>
      <c r="F15" s="54">
        <f>F8-F13</f>
        <v>38599.515025532033</v>
      </c>
      <c r="G15" s="54">
        <f t="shared" si="5"/>
        <v>36908.747199604943</v>
      </c>
      <c r="H15" s="54">
        <f t="shared" si="5"/>
        <v>35393.689826864807</v>
      </c>
      <c r="I15" s="54">
        <f t="shared" si="5"/>
        <v>40715.855348660756</v>
      </c>
      <c r="J15" s="54">
        <f t="shared" si="5"/>
        <v>16403.862915390593</v>
      </c>
      <c r="K15" s="54">
        <f t="shared" si="5"/>
        <v>53247.17398336425</v>
      </c>
      <c r="L15" s="54">
        <f t="shared" si="5"/>
        <v>33764.304561687313</v>
      </c>
      <c r="M15" s="54" t="e">
        <f t="shared" si="5"/>
        <v>#DIV/0!</v>
      </c>
    </row>
    <row r="17" spans="1:20" x14ac:dyDescent="0.2">
      <c r="A17" s="5" t="s">
        <v>40</v>
      </c>
      <c r="B17" s="58">
        <v>2190.65</v>
      </c>
      <c r="C17" s="58">
        <v>2469.92</v>
      </c>
      <c r="D17" s="58">
        <v>2376.89</v>
      </c>
      <c r="E17" s="58">
        <v>2397.63</v>
      </c>
      <c r="F17" s="58">
        <v>2481.9299999999998</v>
      </c>
      <c r="G17" s="58">
        <v>2372.0500000000002</v>
      </c>
      <c r="H17" s="58">
        <f>2264.36+9.31</f>
        <v>2273.67</v>
      </c>
      <c r="I17" s="58">
        <f>2168.16+447.28</f>
        <v>2615.4399999999996</v>
      </c>
      <c r="J17" s="58">
        <f>668.18+387.3</f>
        <v>1055.48</v>
      </c>
      <c r="K17" s="58">
        <f>2832.08+590.63</f>
        <v>3422.71</v>
      </c>
      <c r="L17" s="58">
        <f>76.23+2095.42</f>
        <v>2171.65</v>
      </c>
      <c r="M17" s="58"/>
    </row>
    <row r="18" spans="1:20" x14ac:dyDescent="0.2">
      <c r="A18" s="5" t="s">
        <v>41</v>
      </c>
      <c r="B18" s="55">
        <f t="shared" ref="B18:M18" si="6">B8-B17</f>
        <v>33190.53</v>
      </c>
      <c r="C18" s="55">
        <f t="shared" si="6"/>
        <v>37420.800000000003</v>
      </c>
      <c r="D18" s="55">
        <f t="shared" si="6"/>
        <v>36054.639999999999</v>
      </c>
      <c r="E18" s="55">
        <f>E8-E17</f>
        <v>36326.240000000005</v>
      </c>
      <c r="F18" s="55">
        <f t="shared" si="6"/>
        <v>37603.370000000003</v>
      </c>
      <c r="G18" s="55">
        <f>G8-G17</f>
        <v>35938.299999999996</v>
      </c>
      <c r="H18" s="55">
        <f t="shared" si="6"/>
        <v>34448.1</v>
      </c>
      <c r="I18" s="55">
        <f t="shared" si="6"/>
        <v>39626.259999999995</v>
      </c>
      <c r="J18" s="55">
        <f t="shared" si="6"/>
        <v>15962.02</v>
      </c>
      <c r="K18" s="55">
        <f t="shared" si="6"/>
        <v>51794.52</v>
      </c>
      <c r="L18" s="55">
        <f t="shared" si="6"/>
        <v>32840.870000000003</v>
      </c>
      <c r="M18" s="55">
        <f t="shared" si="6"/>
        <v>0</v>
      </c>
    </row>
    <row r="19" spans="1:20" x14ac:dyDescent="0.2">
      <c r="A19" s="5" t="s">
        <v>42</v>
      </c>
      <c r="B19" s="55">
        <f>B18-B13</f>
        <v>31843.359217746751</v>
      </c>
      <c r="C19" s="55">
        <f t="shared" ref="C19:M19" si="7">C18-C13</f>
        <v>36012.004566678326</v>
      </c>
      <c r="D19" s="55">
        <f t="shared" si="7"/>
        <v>34698.734944448333</v>
      </c>
      <c r="E19" s="55">
        <f t="shared" si="7"/>
        <v>34963.081648715393</v>
      </c>
      <c r="F19" s="55">
        <f>F18-F13</f>
        <v>36117.585025532033</v>
      </c>
      <c r="G19" s="55">
        <f t="shared" si="7"/>
        <v>34536.69719960494</v>
      </c>
      <c r="H19" s="55">
        <f>H18-H13</f>
        <v>33120.019826864809</v>
      </c>
      <c r="I19" s="55">
        <f>I18-I13</f>
        <v>38100.415348660754</v>
      </c>
      <c r="J19" s="55">
        <f t="shared" si="7"/>
        <v>15348.382915390594</v>
      </c>
      <c r="K19" s="55">
        <f t="shared" si="7"/>
        <v>49824.46398336425</v>
      </c>
      <c r="L19" s="55">
        <f t="shared" si="7"/>
        <v>31592.654561687315</v>
      </c>
      <c r="M19" s="55" t="e">
        <f t="shared" si="7"/>
        <v>#DIV/0!</v>
      </c>
    </row>
    <row r="20" spans="1:20" x14ac:dyDescent="0.2">
      <c r="G20" s="34"/>
      <c r="P20" s="58"/>
      <c r="R20" s="58"/>
      <c r="T20" s="55"/>
    </row>
    <row r="21" spans="1:20" x14ac:dyDescent="0.2">
      <c r="C21" s="60"/>
      <c r="G21" s="38"/>
      <c r="I21" s="58"/>
      <c r="J21" s="58"/>
      <c r="K21" s="58"/>
    </row>
    <row r="22" spans="1:20" x14ac:dyDescent="0.2">
      <c r="C22" s="60"/>
      <c r="I22" s="58"/>
      <c r="J22" s="58"/>
      <c r="K22" s="58"/>
    </row>
    <row r="24" spans="1:20" x14ac:dyDescent="0.2">
      <c r="B24" s="112">
        <f>L6-B6</f>
        <v>71636</v>
      </c>
      <c r="J24" s="55"/>
    </row>
    <row r="25" spans="1:20" x14ac:dyDescent="0.2">
      <c r="B25" s="5">
        <v>246796</v>
      </c>
      <c r="I25" s="136"/>
    </row>
    <row r="26" spans="1:20" x14ac:dyDescent="0.2">
      <c r="L26" s="144"/>
    </row>
    <row r="27" spans="1:20" x14ac:dyDescent="0.2">
      <c r="I27" s="137"/>
    </row>
  </sheetData>
  <pageMargins left="0.7" right="0.7" top="0.75" bottom="0.75" header="0.3" footer="0.3"/>
  <pageSetup orientation="portrait" horizontalDpi="0" verticalDpi="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1CA45-4EA6-E543-B4CA-B49E1CEA765C}">
  <dimension ref="A1:T26"/>
  <sheetViews>
    <sheetView tabSelected="1" zoomScale="138" zoomScaleNormal="140" workbookViewId="0">
      <selection activeCell="M12" sqref="M12"/>
    </sheetView>
  </sheetViews>
  <sheetFormatPr baseColWidth="10" defaultColWidth="10.83203125" defaultRowHeight="15" x14ac:dyDescent="0.2"/>
  <cols>
    <col min="1" max="1" width="43.5" style="5" bestFit="1" customWidth="1"/>
    <col min="2" max="7" width="11.1640625" style="5" bestFit="1" customWidth="1"/>
    <col min="8" max="10" width="11.1640625" style="5" customWidth="1"/>
    <col min="11" max="13" width="11.1640625" style="5" bestFit="1" customWidth="1"/>
    <col min="14" max="14" width="12.1640625" style="5" bestFit="1" customWidth="1"/>
    <col min="15" max="16384" width="10.83203125" style="5"/>
  </cols>
  <sheetData>
    <row r="1" spans="1:16" ht="16" thickBot="1" x14ac:dyDescent="0.25">
      <c r="A1" s="31" t="s">
        <v>33</v>
      </c>
      <c r="B1" s="32">
        <f>'FY24'!M5</f>
        <v>447756</v>
      </c>
    </row>
    <row r="2" spans="1:16" ht="16" thickBot="1" x14ac:dyDescent="0.25"/>
    <row r="3" spans="1:16" ht="16" thickBot="1" x14ac:dyDescent="0.25">
      <c r="A3" s="1"/>
      <c r="B3" s="2" t="s">
        <v>8</v>
      </c>
      <c r="C3" s="2" t="s">
        <v>9</v>
      </c>
      <c r="D3" s="2" t="s">
        <v>10</v>
      </c>
      <c r="E3" s="2" t="s">
        <v>11</v>
      </c>
      <c r="F3" s="2" t="s">
        <v>12</v>
      </c>
      <c r="G3" s="3" t="s">
        <v>13</v>
      </c>
      <c r="H3" s="3" t="s">
        <v>14</v>
      </c>
      <c r="I3" s="3" t="s">
        <v>15</v>
      </c>
      <c r="J3" s="3" t="s">
        <v>16</v>
      </c>
      <c r="K3" s="2" t="s">
        <v>17</v>
      </c>
      <c r="L3" s="3" t="s">
        <v>18</v>
      </c>
      <c r="M3" s="2" t="s">
        <v>19</v>
      </c>
      <c r="N3" s="74" t="s">
        <v>20</v>
      </c>
    </row>
    <row r="4" spans="1:16" x14ac:dyDescent="0.2">
      <c r="A4" s="49" t="s">
        <v>21</v>
      </c>
      <c r="B4" s="42">
        <v>15439</v>
      </c>
      <c r="C4" s="7">
        <v>18909</v>
      </c>
      <c r="D4" s="42">
        <v>21066</v>
      </c>
      <c r="E4" s="42">
        <v>20739</v>
      </c>
      <c r="F4" s="7">
        <v>15453</v>
      </c>
      <c r="G4" s="7">
        <v>12025</v>
      </c>
      <c r="H4" s="7">
        <v>12748</v>
      </c>
      <c r="I4" s="42">
        <v>9042</v>
      </c>
      <c r="J4" s="42">
        <v>13399</v>
      </c>
      <c r="K4" s="7">
        <v>11424</v>
      </c>
      <c r="L4" s="42">
        <v>12064</v>
      </c>
      <c r="M4" s="7">
        <v>19158</v>
      </c>
      <c r="N4" s="70">
        <f>SUM(B4:M4)</f>
        <v>181466</v>
      </c>
    </row>
    <row r="5" spans="1:16" x14ac:dyDescent="0.2">
      <c r="A5" s="11" t="s">
        <v>22</v>
      </c>
      <c r="B5" s="13">
        <f>B4+B1</f>
        <v>463195</v>
      </c>
      <c r="C5" s="13">
        <f t="shared" ref="C5:M5" si="0">B5+C4</f>
        <v>482104</v>
      </c>
      <c r="D5" s="13">
        <f t="shared" si="0"/>
        <v>503170</v>
      </c>
      <c r="E5" s="13">
        <f t="shared" si="0"/>
        <v>523909</v>
      </c>
      <c r="F5" s="13">
        <f t="shared" si="0"/>
        <v>539362</v>
      </c>
      <c r="G5" s="13">
        <f t="shared" si="0"/>
        <v>551387</v>
      </c>
      <c r="H5" s="13">
        <f t="shared" si="0"/>
        <v>564135</v>
      </c>
      <c r="I5" s="13">
        <f t="shared" si="0"/>
        <v>573177</v>
      </c>
      <c r="J5" s="13">
        <f t="shared" si="0"/>
        <v>586576</v>
      </c>
      <c r="K5" s="13">
        <f t="shared" si="0"/>
        <v>598000</v>
      </c>
      <c r="L5" s="13">
        <f t="shared" si="0"/>
        <v>610064</v>
      </c>
      <c r="M5" s="13">
        <f t="shared" si="0"/>
        <v>629222</v>
      </c>
      <c r="N5" s="71"/>
    </row>
    <row r="6" spans="1:16" x14ac:dyDescent="0.2">
      <c r="A6" s="6" t="s">
        <v>23</v>
      </c>
      <c r="B6" s="8">
        <v>269593</v>
      </c>
      <c r="C6" s="8">
        <v>294481</v>
      </c>
      <c r="D6" s="8">
        <v>299991</v>
      </c>
      <c r="E6" s="8">
        <v>304528</v>
      </c>
      <c r="F6" s="8">
        <v>294532</v>
      </c>
      <c r="G6" s="8">
        <v>302743</v>
      </c>
      <c r="H6" s="8">
        <v>311895</v>
      </c>
      <c r="I6" s="9">
        <v>318949</v>
      </c>
      <c r="J6" s="9">
        <v>328155</v>
      </c>
      <c r="K6" s="8">
        <v>335302</v>
      </c>
      <c r="L6" s="9">
        <v>341229</v>
      </c>
      <c r="M6" s="8">
        <v>349395</v>
      </c>
      <c r="N6" s="70"/>
      <c r="P6" s="112"/>
    </row>
    <row r="7" spans="1:16" x14ac:dyDescent="0.2">
      <c r="A7" s="11" t="s">
        <v>34</v>
      </c>
      <c r="B7" s="15">
        <v>35381.18</v>
      </c>
      <c r="C7" s="15">
        <v>39890.720000000001</v>
      </c>
      <c r="D7" s="15">
        <v>38431.53</v>
      </c>
      <c r="E7" s="15">
        <v>38723.870000000003</v>
      </c>
      <c r="F7" s="15">
        <v>40085.300000000003</v>
      </c>
      <c r="G7" s="15">
        <v>38310.35</v>
      </c>
      <c r="H7" s="15">
        <f>36571.46+150.31</f>
        <v>36721.769999999997</v>
      </c>
      <c r="I7" s="16">
        <f>35017.42+7224.28</f>
        <v>42241.7</v>
      </c>
      <c r="J7" s="16">
        <f>6225.32+10792.18</f>
        <v>17017.5</v>
      </c>
      <c r="K7" s="15">
        <f>45677.6+9539.63</f>
        <v>55217.229999999996</v>
      </c>
      <c r="L7" s="16">
        <f>1231.23+33781.29</f>
        <v>35012.520000000004</v>
      </c>
      <c r="M7" s="152">
        <v>45550.48</v>
      </c>
      <c r="N7" s="72">
        <f>SUM(B7:M7)</f>
        <v>462584.14999999997</v>
      </c>
    </row>
    <row r="8" spans="1:16" x14ac:dyDescent="0.2">
      <c r="A8" s="6" t="s">
        <v>35</v>
      </c>
      <c r="B8" s="18">
        <f t="shared" ref="B8:L8" si="1">B7/B6</f>
        <v>0.13123923840752541</v>
      </c>
      <c r="C8" s="18">
        <f t="shared" si="1"/>
        <v>0.1354610993578533</v>
      </c>
      <c r="D8" s="18">
        <f t="shared" si="1"/>
        <v>0.12810894326829805</v>
      </c>
      <c r="E8" s="18">
        <f t="shared" si="1"/>
        <v>0.12716029396311671</v>
      </c>
      <c r="F8" s="18">
        <f t="shared" si="1"/>
        <v>0.13609828473646329</v>
      </c>
      <c r="G8" s="18">
        <f t="shared" si="1"/>
        <v>0.12654413149106666</v>
      </c>
      <c r="H8" s="18">
        <f t="shared" si="1"/>
        <v>0.1177376040013466</v>
      </c>
      <c r="I8" s="18">
        <f t="shared" si="1"/>
        <v>0.13244029609749519</v>
      </c>
      <c r="J8" s="18">
        <f t="shared" si="1"/>
        <v>5.1858115829409884E-2</v>
      </c>
      <c r="K8" s="18">
        <f t="shared" si="1"/>
        <v>0.16467909526337449</v>
      </c>
      <c r="L8" s="18">
        <f t="shared" si="1"/>
        <v>0.10260710549220613</v>
      </c>
      <c r="M8" s="18">
        <f>M7/M6</f>
        <v>0.13036958170551954</v>
      </c>
      <c r="N8" s="73">
        <f>N7/M6</f>
        <v>1.3239575552025644</v>
      </c>
    </row>
    <row r="9" spans="1:16" x14ac:dyDescent="0.2">
      <c r="A9" s="11" t="s">
        <v>30</v>
      </c>
      <c r="B9" s="56">
        <f t="shared" ref="B9:M9" si="2">B6/B5</f>
        <v>0.58202916698150886</v>
      </c>
      <c r="C9" s="56">
        <f t="shared" si="2"/>
        <v>0.6108246353483896</v>
      </c>
      <c r="D9" s="56">
        <f t="shared" si="2"/>
        <v>0.59620207882027942</v>
      </c>
      <c r="E9" s="56">
        <f t="shared" si="2"/>
        <v>0.58126124956815017</v>
      </c>
      <c r="F9" s="56">
        <f t="shared" si="2"/>
        <v>0.54607480690148735</v>
      </c>
      <c r="G9" s="56">
        <f t="shared" si="2"/>
        <v>0.54905719576268575</v>
      </c>
      <c r="H9" s="56">
        <f t="shared" si="2"/>
        <v>0.55287298253077721</v>
      </c>
      <c r="I9" s="56">
        <f t="shared" si="2"/>
        <v>0.55645812724516164</v>
      </c>
      <c r="J9" s="56">
        <f t="shared" si="2"/>
        <v>0.55944157278852191</v>
      </c>
      <c r="K9" s="56">
        <f t="shared" si="2"/>
        <v>0.56070568561872913</v>
      </c>
      <c r="L9" s="56">
        <f t="shared" si="2"/>
        <v>0.55933311914815498</v>
      </c>
      <c r="M9" s="56">
        <f t="shared" si="2"/>
        <v>0.55528096601835286</v>
      </c>
      <c r="N9" s="69"/>
    </row>
    <row r="10" spans="1:16" x14ac:dyDescent="0.2">
      <c r="A10" s="6" t="s">
        <v>36</v>
      </c>
      <c r="B10" s="57">
        <v>680</v>
      </c>
      <c r="C10" s="57">
        <v>730</v>
      </c>
      <c r="D10" s="57">
        <v>827</v>
      </c>
      <c r="E10" s="57">
        <v>954</v>
      </c>
      <c r="F10" s="57">
        <v>856</v>
      </c>
      <c r="G10" s="57">
        <v>707</v>
      </c>
      <c r="H10" s="57">
        <v>847</v>
      </c>
      <c r="I10" s="57">
        <v>873</v>
      </c>
      <c r="J10" s="57">
        <v>977</v>
      </c>
      <c r="K10" s="57">
        <v>962</v>
      </c>
      <c r="L10" s="57">
        <v>1014</v>
      </c>
      <c r="M10" s="57">
        <v>921</v>
      </c>
      <c r="N10" s="75">
        <f>SUM(B10:M10)</f>
        <v>10348</v>
      </c>
    </row>
    <row r="11" spans="1:16" ht="16" thickBot="1" x14ac:dyDescent="0.25">
      <c r="A11" s="23" t="s">
        <v>37</v>
      </c>
      <c r="B11" s="39">
        <v>10265</v>
      </c>
      <c r="C11" s="39">
        <v>10400</v>
      </c>
      <c r="D11" s="39">
        <v>10584</v>
      </c>
      <c r="E11" s="39">
        <v>10720</v>
      </c>
      <c r="F11" s="39">
        <v>10917</v>
      </c>
      <c r="G11" s="39">
        <v>11076</v>
      </c>
      <c r="H11" s="39">
        <v>11280</v>
      </c>
      <c r="I11" s="39">
        <v>11521</v>
      </c>
      <c r="J11" s="39">
        <v>11833</v>
      </c>
      <c r="K11" s="39">
        <v>11963</v>
      </c>
      <c r="L11" s="39">
        <v>12165</v>
      </c>
      <c r="M11" s="39">
        <v>12459</v>
      </c>
      <c r="N11" s="76"/>
    </row>
    <row r="12" spans="1:16" ht="17" thickTop="1" thickBot="1" x14ac:dyDescent="0.25">
      <c r="A12" s="27" t="s">
        <v>38</v>
      </c>
      <c r="B12" s="28">
        <f>B8*B11</f>
        <v>1347.1707822532483</v>
      </c>
      <c r="C12" s="28">
        <f>C8*C11</f>
        <v>1408.7954333216744</v>
      </c>
      <c r="D12" s="28">
        <f t="shared" ref="D12:L12" si="3">D8*D11</f>
        <v>1355.9050555516667</v>
      </c>
      <c r="E12" s="28">
        <f t="shared" si="3"/>
        <v>1363.1583512846112</v>
      </c>
      <c r="F12" s="28">
        <f>F8*F11</f>
        <v>1485.7849744679697</v>
      </c>
      <c r="G12" s="28">
        <f t="shared" si="3"/>
        <v>1401.6028003950544</v>
      </c>
      <c r="H12" s="28">
        <f t="shared" si="3"/>
        <v>1328.0801731351896</v>
      </c>
      <c r="I12" s="28">
        <f t="shared" si="3"/>
        <v>1525.8446513392421</v>
      </c>
      <c r="J12" s="28">
        <f t="shared" si="3"/>
        <v>613.63708460940711</v>
      </c>
      <c r="K12" s="28">
        <f t="shared" si="3"/>
        <v>1970.0560166357491</v>
      </c>
      <c r="L12" s="28">
        <f t="shared" si="3"/>
        <v>1248.2154383126876</v>
      </c>
      <c r="M12" s="28">
        <f>M8*M11</f>
        <v>1624.2746184690679</v>
      </c>
      <c r="N12" s="77">
        <f>SUM(B12:M12)</f>
        <v>16672.525379775569</v>
      </c>
    </row>
    <row r="14" spans="1:16" x14ac:dyDescent="0.2">
      <c r="A14" s="52" t="s">
        <v>39</v>
      </c>
      <c r="B14" s="54">
        <f>B7-B12</f>
        <v>34034.009217746752</v>
      </c>
      <c r="C14" s="54">
        <f t="shared" ref="C14:M14" si="4">C7-C12</f>
        <v>38481.924566678324</v>
      </c>
      <c r="D14" s="54">
        <f t="shared" si="4"/>
        <v>37075.624944448333</v>
      </c>
      <c r="E14" s="54">
        <f t="shared" si="4"/>
        <v>37360.711648715391</v>
      </c>
      <c r="F14" s="54">
        <f>F7-F12</f>
        <v>38599.515025532033</v>
      </c>
      <c r="G14" s="54">
        <f t="shared" si="4"/>
        <v>36908.747199604943</v>
      </c>
      <c r="H14" s="54">
        <f t="shared" si="4"/>
        <v>35393.689826864807</v>
      </c>
      <c r="I14" s="54">
        <f t="shared" si="4"/>
        <v>40715.855348660756</v>
      </c>
      <c r="J14" s="54">
        <f t="shared" si="4"/>
        <v>16403.862915390593</v>
      </c>
      <c r="K14" s="54">
        <f t="shared" si="4"/>
        <v>53247.17398336425</v>
      </c>
      <c r="L14" s="54">
        <f t="shared" si="4"/>
        <v>33764.304561687313</v>
      </c>
      <c r="M14" s="54">
        <f t="shared" si="4"/>
        <v>43926.205381530934</v>
      </c>
    </row>
    <row r="16" spans="1:16" x14ac:dyDescent="0.2">
      <c r="A16" s="5" t="s">
        <v>40</v>
      </c>
      <c r="B16" s="58">
        <v>2190.65</v>
      </c>
      <c r="C16" s="58">
        <v>2469.92</v>
      </c>
      <c r="D16" s="58">
        <v>2376.89</v>
      </c>
      <c r="E16" s="58">
        <v>2397.63</v>
      </c>
      <c r="F16" s="58">
        <v>2481.9299999999998</v>
      </c>
      <c r="G16" s="58">
        <v>2372.0500000000002</v>
      </c>
      <c r="H16" s="58">
        <f>2264.36+9.31</f>
        <v>2273.67</v>
      </c>
      <c r="I16" s="58">
        <f>2168.16+447.28</f>
        <v>2615.4399999999996</v>
      </c>
      <c r="J16" s="58">
        <f>668.18+387.3</f>
        <v>1055.48</v>
      </c>
      <c r="K16" s="58">
        <f>2832.08+590.63</f>
        <v>3422.71</v>
      </c>
      <c r="L16" s="58">
        <f>76.23+2095.42</f>
        <v>2171.65</v>
      </c>
      <c r="M16" s="58"/>
    </row>
    <row r="17" spans="1:20" x14ac:dyDescent="0.2">
      <c r="A17" s="5" t="s">
        <v>41</v>
      </c>
      <c r="B17" s="55">
        <f t="shared" ref="B17:M17" si="5">B7-B16</f>
        <v>33190.53</v>
      </c>
      <c r="C17" s="55">
        <f t="shared" si="5"/>
        <v>37420.800000000003</v>
      </c>
      <c r="D17" s="55">
        <f t="shared" si="5"/>
        <v>36054.639999999999</v>
      </c>
      <c r="E17" s="55">
        <f>E7-E16</f>
        <v>36326.240000000005</v>
      </c>
      <c r="F17" s="55">
        <f t="shared" si="5"/>
        <v>37603.370000000003</v>
      </c>
      <c r="G17" s="55">
        <f>G7-G16</f>
        <v>35938.299999999996</v>
      </c>
      <c r="H17" s="55">
        <f t="shared" si="5"/>
        <v>34448.1</v>
      </c>
      <c r="I17" s="55">
        <f t="shared" si="5"/>
        <v>39626.259999999995</v>
      </c>
      <c r="J17" s="55">
        <f t="shared" si="5"/>
        <v>15962.02</v>
      </c>
      <c r="K17" s="55">
        <f t="shared" si="5"/>
        <v>51794.52</v>
      </c>
      <c r="L17" s="55">
        <f t="shared" si="5"/>
        <v>32840.870000000003</v>
      </c>
      <c r="M17" s="55">
        <f t="shared" si="5"/>
        <v>45550.48</v>
      </c>
    </row>
    <row r="18" spans="1:20" x14ac:dyDescent="0.2">
      <c r="A18" s="5" t="s">
        <v>42</v>
      </c>
      <c r="B18" s="55">
        <f>B17-B12</f>
        <v>31843.359217746751</v>
      </c>
      <c r="C18" s="55">
        <f t="shared" ref="C18:M18" si="6">C17-C12</f>
        <v>36012.004566678326</v>
      </c>
      <c r="D18" s="55">
        <f t="shared" si="6"/>
        <v>34698.734944448333</v>
      </c>
      <c r="E18" s="55">
        <f t="shared" si="6"/>
        <v>34963.081648715393</v>
      </c>
      <c r="F18" s="55">
        <f>F17-F12</f>
        <v>36117.585025532033</v>
      </c>
      <c r="G18" s="55">
        <f t="shared" si="6"/>
        <v>34536.69719960494</v>
      </c>
      <c r="H18" s="55">
        <f>H17-H12</f>
        <v>33120.019826864809</v>
      </c>
      <c r="I18" s="55">
        <f>I17-I12</f>
        <v>38100.415348660754</v>
      </c>
      <c r="J18" s="55">
        <f t="shared" si="6"/>
        <v>15348.382915390594</v>
      </c>
      <c r="K18" s="55">
        <f t="shared" si="6"/>
        <v>49824.46398336425</v>
      </c>
      <c r="L18" s="55">
        <f t="shared" si="6"/>
        <v>31592.654561687315</v>
      </c>
      <c r="M18" s="55">
        <f t="shared" si="6"/>
        <v>43926.205381530934</v>
      </c>
    </row>
    <row r="19" spans="1:20" x14ac:dyDescent="0.2">
      <c r="G19" s="34"/>
      <c r="P19" s="58"/>
      <c r="R19" s="58"/>
      <c r="T19" s="55"/>
    </row>
    <row r="20" spans="1:20" x14ac:dyDescent="0.2">
      <c r="C20" s="60"/>
      <c r="G20" s="38"/>
      <c r="I20" s="58"/>
      <c r="J20" s="58"/>
      <c r="K20" s="58"/>
    </row>
    <row r="21" spans="1:20" x14ac:dyDescent="0.2">
      <c r="C21" s="60"/>
      <c r="I21" s="58"/>
      <c r="J21" s="58"/>
      <c r="K21" s="58"/>
    </row>
    <row r="23" spans="1:20" x14ac:dyDescent="0.2">
      <c r="J23" s="55"/>
    </row>
    <row r="24" spans="1:20" x14ac:dyDescent="0.2">
      <c r="I24" s="136"/>
    </row>
    <row r="25" spans="1:20" x14ac:dyDescent="0.2">
      <c r="L25" s="144"/>
    </row>
    <row r="26" spans="1:20" x14ac:dyDescent="0.2">
      <c r="I26" s="137"/>
    </row>
  </sheetData>
  <pageMargins left="0.7" right="0.7" top="0.75" bottom="0.75" header="0.3" footer="0.3"/>
  <pageSetup orientation="portrait" horizontalDpi="0" verticalDpi="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543C9-DA1C-7340-BBE5-B6E66BB1F9AE}">
  <dimension ref="A1:T21"/>
  <sheetViews>
    <sheetView zoomScale="160" zoomScaleNormal="140" workbookViewId="0">
      <selection activeCell="B6" sqref="B6:M6"/>
    </sheetView>
  </sheetViews>
  <sheetFormatPr baseColWidth="10" defaultColWidth="10.83203125" defaultRowHeight="15" x14ac:dyDescent="0.2"/>
  <cols>
    <col min="1" max="1" width="56.5" style="5" customWidth="1"/>
    <col min="2" max="7" width="11.1640625" style="5" bestFit="1" customWidth="1"/>
    <col min="8" max="10" width="11.1640625" style="5" customWidth="1"/>
    <col min="11" max="13" width="11.1640625" style="5" bestFit="1" customWidth="1"/>
    <col min="14" max="14" width="12.1640625" style="5" bestFit="1" customWidth="1"/>
    <col min="15" max="15" width="10.83203125" style="5"/>
    <col min="16" max="16" width="11.1640625" style="5" bestFit="1" customWidth="1"/>
    <col min="17" max="16384" width="10.83203125" style="5"/>
  </cols>
  <sheetData>
    <row r="1" spans="1:16" ht="16" thickBot="1" x14ac:dyDescent="0.25">
      <c r="A1" s="31" t="s">
        <v>33</v>
      </c>
      <c r="B1" s="32">
        <f>'FY23'!M6</f>
        <v>288980</v>
      </c>
    </row>
    <row r="2" spans="1:16" ht="16" thickBot="1" x14ac:dyDescent="0.25"/>
    <row r="3" spans="1:16" ht="16" thickBot="1" x14ac:dyDescent="0.25">
      <c r="A3" s="1"/>
      <c r="B3" s="2" t="s">
        <v>8</v>
      </c>
      <c r="C3" s="2" t="s">
        <v>9</v>
      </c>
      <c r="D3" s="2" t="s">
        <v>10</v>
      </c>
      <c r="E3" s="2" t="s">
        <v>11</v>
      </c>
      <c r="F3" s="2" t="s">
        <v>12</v>
      </c>
      <c r="G3" s="3" t="s">
        <v>13</v>
      </c>
      <c r="H3" s="3" t="s">
        <v>14</v>
      </c>
      <c r="I3" s="3" t="s">
        <v>15</v>
      </c>
      <c r="J3" s="3" t="s">
        <v>16</v>
      </c>
      <c r="K3" s="2" t="s">
        <v>17</v>
      </c>
      <c r="L3" s="3" t="s">
        <v>18</v>
      </c>
      <c r="M3" s="2" t="s">
        <v>19</v>
      </c>
      <c r="N3" s="74" t="s">
        <v>43</v>
      </c>
      <c r="P3" s="35"/>
    </row>
    <row r="4" spans="1:16" x14ac:dyDescent="0.2">
      <c r="A4" s="49" t="s">
        <v>21</v>
      </c>
      <c r="B4" s="42">
        <v>11059</v>
      </c>
      <c r="C4" s="7">
        <v>14484</v>
      </c>
      <c r="D4" s="42">
        <v>20172</v>
      </c>
      <c r="E4" s="42">
        <v>21250</v>
      </c>
      <c r="F4" s="7">
        <v>18543</v>
      </c>
      <c r="G4" s="7">
        <v>12503</v>
      </c>
      <c r="H4" s="7">
        <v>12109</v>
      </c>
      <c r="I4" s="42">
        <v>8560</v>
      </c>
      <c r="J4" s="42">
        <v>9539</v>
      </c>
      <c r="K4" s="7">
        <v>7658</v>
      </c>
      <c r="L4" s="42">
        <v>10185</v>
      </c>
      <c r="M4" s="7">
        <v>12714</v>
      </c>
      <c r="N4" s="70">
        <f>SUM(B4:M4)</f>
        <v>158776</v>
      </c>
      <c r="P4" s="35"/>
    </row>
    <row r="5" spans="1:16" x14ac:dyDescent="0.2">
      <c r="A5" s="11" t="s">
        <v>22</v>
      </c>
      <c r="B5" s="13">
        <f>B4+B1</f>
        <v>300039</v>
      </c>
      <c r="C5" s="13">
        <f t="shared" ref="C5:M5" si="0">B5+C4</f>
        <v>314523</v>
      </c>
      <c r="D5" s="13">
        <f t="shared" si="0"/>
        <v>334695</v>
      </c>
      <c r="E5" s="13">
        <f t="shared" si="0"/>
        <v>355945</v>
      </c>
      <c r="F5" s="13">
        <f t="shared" si="0"/>
        <v>374488</v>
      </c>
      <c r="G5" s="13">
        <f t="shared" si="0"/>
        <v>386991</v>
      </c>
      <c r="H5" s="13">
        <f t="shared" si="0"/>
        <v>399100</v>
      </c>
      <c r="I5" s="13">
        <f t="shared" si="0"/>
        <v>407660</v>
      </c>
      <c r="J5" s="13">
        <f t="shared" si="0"/>
        <v>417199</v>
      </c>
      <c r="K5" s="13">
        <f t="shared" si="0"/>
        <v>424857</v>
      </c>
      <c r="L5" s="13">
        <f t="shared" si="0"/>
        <v>435042</v>
      </c>
      <c r="M5" s="13">
        <f t="shared" si="0"/>
        <v>447756</v>
      </c>
      <c r="N5" s="71"/>
    </row>
    <row r="6" spans="1:16" x14ac:dyDescent="0.2">
      <c r="A6" s="6" t="s">
        <v>23</v>
      </c>
      <c r="B6" s="8">
        <v>156063</v>
      </c>
      <c r="C6" s="8">
        <v>166317</v>
      </c>
      <c r="D6" s="8">
        <v>172806</v>
      </c>
      <c r="E6" s="8">
        <v>184126</v>
      </c>
      <c r="F6" s="8">
        <v>193334</v>
      </c>
      <c r="G6" s="8">
        <v>201802</v>
      </c>
      <c r="H6" s="8">
        <v>205000</v>
      </c>
      <c r="I6" s="9">
        <v>207754</v>
      </c>
      <c r="J6" s="9">
        <v>216362</v>
      </c>
      <c r="K6" s="8">
        <v>223917</v>
      </c>
      <c r="L6" s="9">
        <v>229685</v>
      </c>
      <c r="M6" s="8">
        <v>246796</v>
      </c>
      <c r="N6" s="70"/>
      <c r="P6" s="112"/>
    </row>
    <row r="7" spans="1:16" x14ac:dyDescent="0.2">
      <c r="A7" s="11" t="s">
        <v>34</v>
      </c>
      <c r="B7" s="15">
        <v>47433.74</v>
      </c>
      <c r="C7" s="15">
        <v>37064.800000000003</v>
      </c>
      <c r="D7" s="15">
        <v>82792.92</v>
      </c>
      <c r="E7" s="15">
        <v>57395.01</v>
      </c>
      <c r="F7" s="15">
        <v>50593.760000000002</v>
      </c>
      <c r="G7" s="15">
        <v>37218.78</v>
      </c>
      <c r="H7" s="15">
        <v>35622.870000000003</v>
      </c>
      <c r="I7" s="16">
        <v>30300.5</v>
      </c>
      <c r="J7" s="16">
        <v>31771.56</v>
      </c>
      <c r="K7" s="15">
        <v>32731.200000000001</v>
      </c>
      <c r="L7" s="16">
        <v>22717.51</v>
      </c>
      <c r="M7" s="15">
        <v>33627.65</v>
      </c>
      <c r="N7" s="72">
        <f>SUM(B7:M7)</f>
        <v>499270.30000000005</v>
      </c>
    </row>
    <row r="8" spans="1:16" x14ac:dyDescent="0.2">
      <c r="A8" s="6" t="s">
        <v>35</v>
      </c>
      <c r="B8" s="18">
        <f t="shared" ref="B8:L8" si="1">B7/B6</f>
        <v>0.30393969102221535</v>
      </c>
      <c r="C8" s="18">
        <f t="shared" si="1"/>
        <v>0.22285635262781317</v>
      </c>
      <c r="D8" s="18">
        <f t="shared" si="1"/>
        <v>0.47910905871323911</v>
      </c>
      <c r="E8" s="18">
        <f t="shared" si="1"/>
        <v>0.31171594451625517</v>
      </c>
      <c r="F8" s="18">
        <f t="shared" si="1"/>
        <v>0.26169095968634593</v>
      </c>
      <c r="G8" s="18">
        <f t="shared" si="1"/>
        <v>0.18443216618269392</v>
      </c>
      <c r="H8" s="18">
        <f t="shared" si="1"/>
        <v>0.17377009756097561</v>
      </c>
      <c r="I8" s="18">
        <f t="shared" si="1"/>
        <v>0.14584797404622776</v>
      </c>
      <c r="J8" s="18">
        <f t="shared" si="1"/>
        <v>0.1468444551261312</v>
      </c>
      <c r="K8" s="18">
        <f t="shared" si="1"/>
        <v>0.14617559184876538</v>
      </c>
      <c r="L8" s="18">
        <f t="shared" si="1"/>
        <v>9.8907242527809816E-2</v>
      </c>
      <c r="M8" s="18">
        <f>M7/M6</f>
        <v>0.1362568680205514</v>
      </c>
      <c r="N8" s="73">
        <f>N7/M6</f>
        <v>2.0230080714436216</v>
      </c>
    </row>
    <row r="9" spans="1:16" x14ac:dyDescent="0.2">
      <c r="A9" s="11" t="s">
        <v>30</v>
      </c>
      <c r="B9" s="56">
        <f t="shared" ref="B9:H9" si="2">B6/B5</f>
        <v>0.52014238149040626</v>
      </c>
      <c r="C9" s="56">
        <f t="shared" si="2"/>
        <v>0.52879121717648625</v>
      </c>
      <c r="D9" s="56">
        <f t="shared" si="2"/>
        <v>0.51630887823242055</v>
      </c>
      <c r="E9" s="56">
        <f t="shared" si="2"/>
        <v>0.5172877832249364</v>
      </c>
      <c r="F9" s="56">
        <f t="shared" si="2"/>
        <v>0.51626220332827755</v>
      </c>
      <c r="G9" s="56">
        <f t="shared" si="2"/>
        <v>0.52146432345971871</v>
      </c>
      <c r="H9" s="56">
        <f t="shared" si="2"/>
        <v>0.5136557253821098</v>
      </c>
      <c r="I9" s="56">
        <f>I6/I5</f>
        <v>0.50962566844919788</v>
      </c>
      <c r="J9" s="56">
        <f>J6/J5</f>
        <v>0.5186062286822356</v>
      </c>
      <c r="K9" s="56">
        <f>K6/K5</f>
        <v>0.5270408631610165</v>
      </c>
      <c r="L9" s="56">
        <f>L6/L5</f>
        <v>0.52796051875451111</v>
      </c>
      <c r="M9" s="56">
        <f>M6/M5</f>
        <v>0.55118412706920739</v>
      </c>
      <c r="N9" s="69"/>
    </row>
    <row r="10" spans="1:16" x14ac:dyDescent="0.2">
      <c r="A10" s="6" t="s">
        <v>36</v>
      </c>
      <c r="B10" s="57">
        <v>367</v>
      </c>
      <c r="C10" s="57">
        <v>613</v>
      </c>
      <c r="D10" s="57">
        <v>645</v>
      </c>
      <c r="E10" s="57">
        <v>859</v>
      </c>
      <c r="F10" s="57">
        <v>726</v>
      </c>
      <c r="G10" s="57">
        <v>546</v>
      </c>
      <c r="H10" s="57">
        <v>702</v>
      </c>
      <c r="I10" s="57">
        <v>668</v>
      </c>
      <c r="J10" s="57">
        <v>661</v>
      </c>
      <c r="K10" s="57">
        <v>765</v>
      </c>
      <c r="L10" s="57">
        <v>699</v>
      </c>
      <c r="M10" s="57">
        <v>600</v>
      </c>
      <c r="N10" s="75">
        <f>SUM(B10:M10)</f>
        <v>7851</v>
      </c>
    </row>
    <row r="11" spans="1:16" ht="16" thickBot="1" x14ac:dyDescent="0.25">
      <c r="A11" s="23" t="s">
        <v>37</v>
      </c>
      <c r="B11" s="39">
        <v>8177</v>
      </c>
      <c r="C11" s="39">
        <f>B11+C10</f>
        <v>8790</v>
      </c>
      <c r="D11" s="39">
        <f>C11+D10</f>
        <v>9435</v>
      </c>
      <c r="E11" s="39">
        <v>8628</v>
      </c>
      <c r="F11" s="39">
        <v>8879</v>
      </c>
      <c r="G11" s="39">
        <v>9434</v>
      </c>
      <c r="H11" s="39">
        <v>9690</v>
      </c>
      <c r="I11" s="39">
        <v>10236</v>
      </c>
      <c r="J11" s="39">
        <v>10826</v>
      </c>
      <c r="K11" s="39">
        <v>9612</v>
      </c>
      <c r="L11" s="39">
        <v>9874</v>
      </c>
      <c r="M11" s="39">
        <v>10062</v>
      </c>
      <c r="N11" s="76"/>
    </row>
    <row r="12" spans="1:16" ht="17" thickTop="1" thickBot="1" x14ac:dyDescent="0.25">
      <c r="A12" s="27" t="s">
        <v>38</v>
      </c>
      <c r="B12" s="28">
        <f>B8*B11</f>
        <v>2485.314853488655</v>
      </c>
      <c r="C12" s="28">
        <f>C8*C11</f>
        <v>1958.9073395984778</v>
      </c>
      <c r="D12" s="28">
        <f t="shared" ref="D12:L12" si="3">D8*D11</f>
        <v>4520.3939689594108</v>
      </c>
      <c r="E12" s="28">
        <f t="shared" si="3"/>
        <v>2689.4851692862494</v>
      </c>
      <c r="F12" s="28">
        <f>F8*F11</f>
        <v>2323.5540310550655</v>
      </c>
      <c r="G12" s="28">
        <f t="shared" si="3"/>
        <v>1739.9330557675344</v>
      </c>
      <c r="H12" s="28">
        <f t="shared" si="3"/>
        <v>1683.8322453658536</v>
      </c>
      <c r="I12" s="28">
        <f t="shared" si="3"/>
        <v>1492.8998623371874</v>
      </c>
      <c r="J12" s="28">
        <f t="shared" si="3"/>
        <v>1589.7380711954963</v>
      </c>
      <c r="K12" s="28">
        <f t="shared" si="3"/>
        <v>1405.0397888503328</v>
      </c>
      <c r="L12" s="28">
        <f t="shared" si="3"/>
        <v>976.6101127195941</v>
      </c>
      <c r="M12" s="28">
        <f>M8*M11</f>
        <v>1371.0166060227882</v>
      </c>
      <c r="N12" s="77">
        <f>SUM(B12:M12)</f>
        <v>24236.725104646648</v>
      </c>
    </row>
    <row r="14" spans="1:16" x14ac:dyDescent="0.2">
      <c r="A14" s="52" t="s">
        <v>39</v>
      </c>
      <c r="B14" s="54">
        <f>B7-B12</f>
        <v>44948.425146511341</v>
      </c>
      <c r="C14" s="54">
        <f t="shared" ref="C14:M14" si="4">C7-C12</f>
        <v>35105.892660401529</v>
      </c>
      <c r="D14" s="54">
        <f t="shared" si="4"/>
        <v>78272.526031040587</v>
      </c>
      <c r="E14" s="54">
        <f t="shared" si="4"/>
        <v>54705.524830713752</v>
      </c>
      <c r="F14" s="54">
        <f>F7-F12</f>
        <v>48270.205968944938</v>
      </c>
      <c r="G14" s="54">
        <f t="shared" si="4"/>
        <v>35478.846944232464</v>
      </c>
      <c r="H14" s="54">
        <f t="shared" si="4"/>
        <v>33939.037754634148</v>
      </c>
      <c r="I14" s="54">
        <f t="shared" si="4"/>
        <v>28807.600137662812</v>
      </c>
      <c r="J14" s="54">
        <f t="shared" si="4"/>
        <v>30181.821928804504</v>
      </c>
      <c r="K14" s="54">
        <f t="shared" si="4"/>
        <v>31326.160211149669</v>
      </c>
      <c r="L14" s="54">
        <f t="shared" si="4"/>
        <v>21740.899887280404</v>
      </c>
      <c r="M14" s="54">
        <f t="shared" si="4"/>
        <v>32256.633393977212</v>
      </c>
    </row>
    <row r="16" spans="1:16" x14ac:dyDescent="0.2">
      <c r="A16" s="5" t="s">
        <v>40</v>
      </c>
      <c r="B16" s="58">
        <v>2936.94</v>
      </c>
      <c r="C16" s="58">
        <v>2294.96</v>
      </c>
      <c r="D16" s="58">
        <v>5126.1400000000003</v>
      </c>
      <c r="E16" s="58">
        <v>3551.02</v>
      </c>
      <c r="F16" s="58">
        <v>3132.56</v>
      </c>
      <c r="G16" s="58">
        <v>2304.48</v>
      </c>
      <c r="H16" s="58">
        <v>2205.67</v>
      </c>
      <c r="I16" s="58">
        <v>206.68</v>
      </c>
      <c r="J16" s="58">
        <v>1967.22</v>
      </c>
      <c r="K16" s="58">
        <v>2026.61</v>
      </c>
      <c r="L16" s="58">
        <v>1405.84</v>
      </c>
      <c r="M16" s="58">
        <v>2082.16</v>
      </c>
    </row>
    <row r="17" spans="1:20" x14ac:dyDescent="0.2">
      <c r="A17" s="5" t="s">
        <v>41</v>
      </c>
      <c r="B17" s="55">
        <f>B7-B16</f>
        <v>44496.799999999996</v>
      </c>
      <c r="C17" s="55">
        <f t="shared" ref="C17:J17" si="5">C7-C16</f>
        <v>34769.840000000004</v>
      </c>
      <c r="D17" s="55">
        <f t="shared" si="5"/>
        <v>77666.78</v>
      </c>
      <c r="E17" s="55">
        <f t="shared" si="5"/>
        <v>53843.990000000005</v>
      </c>
      <c r="F17" s="55">
        <f t="shared" si="5"/>
        <v>47461.200000000004</v>
      </c>
      <c r="G17" s="55">
        <f t="shared" si="5"/>
        <v>34914.299999999996</v>
      </c>
      <c r="H17" s="55">
        <f t="shared" si="5"/>
        <v>33417.200000000004</v>
      </c>
      <c r="I17" s="55">
        <f t="shared" si="5"/>
        <v>30093.82</v>
      </c>
      <c r="J17" s="55">
        <f t="shared" si="5"/>
        <v>29804.34</v>
      </c>
      <c r="K17" s="55">
        <f t="shared" ref="K17:M17" si="6">K7-K16</f>
        <v>30704.59</v>
      </c>
      <c r="L17" s="55">
        <f t="shared" si="6"/>
        <v>21311.67</v>
      </c>
      <c r="M17" s="55">
        <f t="shared" si="6"/>
        <v>31545.49</v>
      </c>
    </row>
    <row r="18" spans="1:20" x14ac:dyDescent="0.2">
      <c r="A18" s="5" t="s">
        <v>42</v>
      </c>
      <c r="B18" s="55">
        <f>B17-B12</f>
        <v>42011.485146511339</v>
      </c>
      <c r="C18" s="55">
        <f t="shared" ref="C18:F18" si="7">C17-C12</f>
        <v>32810.932660401522</v>
      </c>
      <c r="D18" s="55">
        <f t="shared" si="7"/>
        <v>73146.386031040587</v>
      </c>
      <c r="E18" s="55">
        <f t="shared" si="7"/>
        <v>51154.504830713755</v>
      </c>
      <c r="F18" s="55">
        <f t="shared" si="7"/>
        <v>45137.64596894494</v>
      </c>
      <c r="G18" s="55">
        <f t="shared" ref="G18:M18" si="8">G17-G12</f>
        <v>33174.366944232461</v>
      </c>
      <c r="H18" s="55">
        <f t="shared" si="8"/>
        <v>31733.36775463415</v>
      </c>
      <c r="I18" s="55">
        <f t="shared" si="8"/>
        <v>28600.920137662812</v>
      </c>
      <c r="J18" s="55">
        <f t="shared" si="8"/>
        <v>28214.601928804503</v>
      </c>
      <c r="K18" s="55">
        <f t="shared" si="8"/>
        <v>29299.550211149668</v>
      </c>
      <c r="L18" s="55">
        <f t="shared" si="8"/>
        <v>20335.059887280404</v>
      </c>
      <c r="M18" s="55">
        <f t="shared" si="8"/>
        <v>30174.473393977212</v>
      </c>
    </row>
    <row r="19" spans="1:20" x14ac:dyDescent="0.2">
      <c r="G19" s="34"/>
      <c r="P19" s="58"/>
      <c r="R19" s="58"/>
      <c r="T19" s="55"/>
    </row>
    <row r="20" spans="1:20" x14ac:dyDescent="0.2">
      <c r="A20" s="5" t="s">
        <v>44</v>
      </c>
      <c r="C20" s="60"/>
      <c r="G20" s="38"/>
      <c r="I20" s="58">
        <f>3336.14-206.68</f>
        <v>3129.46</v>
      </c>
      <c r="J20" s="58"/>
      <c r="K20" s="58"/>
    </row>
    <row r="21" spans="1:20" x14ac:dyDescent="0.2">
      <c r="A21" s="5" t="s">
        <v>45</v>
      </c>
      <c r="C21" s="60"/>
      <c r="I21" s="58">
        <f>I20-I12</f>
        <v>1636.5601376628126</v>
      </c>
      <c r="J21" s="58"/>
      <c r="K21" s="58"/>
    </row>
  </sheetData>
  <pageMargins left="0.7" right="0.7" top="0.75" bottom="0.75" header="0.3" footer="0.3"/>
  <pageSetup orientation="portrait" horizontalDpi="0" verticalDpi="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343CA-8DB1-784E-A735-7745B871B90B}">
  <dimension ref="A1:M23"/>
  <sheetViews>
    <sheetView topLeftCell="E1" zoomScale="150" zoomScaleNormal="140" workbookViewId="0">
      <selection activeCell="P22" sqref="P22"/>
    </sheetView>
  </sheetViews>
  <sheetFormatPr baseColWidth="10" defaultColWidth="10.83203125" defaultRowHeight="15" x14ac:dyDescent="0.2"/>
  <cols>
    <col min="1" max="1" width="47.33203125" style="5" bestFit="1" customWidth="1"/>
    <col min="2" max="7" width="11.1640625" style="5" bestFit="1" customWidth="1"/>
    <col min="8" max="10" width="11.1640625" style="5" customWidth="1"/>
    <col min="11" max="13" width="11.1640625" style="5" bestFit="1" customWidth="1"/>
    <col min="14" max="16384" width="10.83203125" style="5"/>
  </cols>
  <sheetData>
    <row r="1" spans="1:13" ht="16" thickBot="1" x14ac:dyDescent="0.25">
      <c r="A1" s="31" t="s">
        <v>33</v>
      </c>
      <c r="B1" s="32">
        <f>'FY22'!M5</f>
        <v>182477</v>
      </c>
    </row>
    <row r="2" spans="1:13" ht="16" thickBot="1" x14ac:dyDescent="0.25">
      <c r="A2" s="31" t="s">
        <v>46</v>
      </c>
      <c r="B2" s="44">
        <f>'FY22'!M11</f>
        <v>1941</v>
      </c>
    </row>
    <row r="3" spans="1:13" ht="16" thickBot="1" x14ac:dyDescent="0.25"/>
    <row r="4" spans="1:13" ht="16" thickBot="1" x14ac:dyDescent="0.25">
      <c r="A4" s="1"/>
      <c r="B4" s="2" t="s">
        <v>8</v>
      </c>
      <c r="C4" s="2" t="s">
        <v>9</v>
      </c>
      <c r="D4" s="2" t="s">
        <v>10</v>
      </c>
      <c r="E4" s="2" t="s">
        <v>11</v>
      </c>
      <c r="F4" s="2" t="s">
        <v>12</v>
      </c>
      <c r="G4" s="3" t="s">
        <v>13</v>
      </c>
      <c r="H4" s="3" t="s">
        <v>14</v>
      </c>
      <c r="I4" s="3" t="s">
        <v>15</v>
      </c>
      <c r="J4" s="3" t="s">
        <v>16</v>
      </c>
      <c r="K4" s="2" t="s">
        <v>17</v>
      </c>
      <c r="L4" s="3" t="s">
        <v>18</v>
      </c>
      <c r="M4" s="4" t="s">
        <v>19</v>
      </c>
    </row>
    <row r="5" spans="1:13" x14ac:dyDescent="0.2">
      <c r="A5" s="49" t="s">
        <v>47</v>
      </c>
      <c r="B5" s="42">
        <v>7503</v>
      </c>
      <c r="C5" s="7">
        <v>9925</v>
      </c>
      <c r="D5" s="42">
        <v>13262</v>
      </c>
      <c r="E5" s="42">
        <v>10573</v>
      </c>
      <c r="F5" s="7">
        <v>11104</v>
      </c>
      <c r="G5" s="7">
        <v>7565</v>
      </c>
      <c r="H5" s="7">
        <v>7511</v>
      </c>
      <c r="I5" s="42">
        <v>6766</v>
      </c>
      <c r="J5" s="42">
        <v>6337</v>
      </c>
      <c r="K5" s="7">
        <v>7017</v>
      </c>
      <c r="L5" s="42">
        <v>7717</v>
      </c>
      <c r="M5" s="50">
        <v>11223</v>
      </c>
    </row>
    <row r="6" spans="1:13" x14ac:dyDescent="0.2">
      <c r="A6" s="11" t="s">
        <v>22</v>
      </c>
      <c r="B6" s="13">
        <f>B5+B1</f>
        <v>189980</v>
      </c>
      <c r="C6" s="13">
        <f>B6+C5</f>
        <v>199905</v>
      </c>
      <c r="D6" s="12">
        <f t="shared" ref="D6:M6" si="0">C6+D5</f>
        <v>213167</v>
      </c>
      <c r="E6" s="12">
        <f t="shared" si="0"/>
        <v>223740</v>
      </c>
      <c r="F6" s="43">
        <f t="shared" si="0"/>
        <v>234844</v>
      </c>
      <c r="G6" s="13">
        <f t="shared" si="0"/>
        <v>242409</v>
      </c>
      <c r="H6" s="13">
        <f t="shared" si="0"/>
        <v>249920</v>
      </c>
      <c r="I6" s="13">
        <f t="shared" si="0"/>
        <v>256686</v>
      </c>
      <c r="J6" s="13">
        <f>I6+J5</f>
        <v>263023</v>
      </c>
      <c r="K6" s="13">
        <f t="shared" si="0"/>
        <v>270040</v>
      </c>
      <c r="L6" s="13">
        <f t="shared" si="0"/>
        <v>277757</v>
      </c>
      <c r="M6" s="14">
        <f t="shared" si="0"/>
        <v>288980</v>
      </c>
    </row>
    <row r="7" spans="1:13" x14ac:dyDescent="0.2">
      <c r="A7" s="6" t="s">
        <v>23</v>
      </c>
      <c r="B7" s="8">
        <v>99826</v>
      </c>
      <c r="C7" s="8">
        <v>105125</v>
      </c>
      <c r="D7" s="8">
        <v>114981</v>
      </c>
      <c r="E7" s="8">
        <v>121036</v>
      </c>
      <c r="F7" s="8">
        <v>127251</v>
      </c>
      <c r="G7" s="8">
        <v>132549</v>
      </c>
      <c r="H7" s="8">
        <v>131437</v>
      </c>
      <c r="I7" s="9">
        <v>135558</v>
      </c>
      <c r="J7" s="9">
        <v>139286</v>
      </c>
      <c r="K7" s="8">
        <v>142533</v>
      </c>
      <c r="L7" s="9">
        <v>146026</v>
      </c>
      <c r="M7" s="10">
        <v>149689</v>
      </c>
    </row>
    <row r="8" spans="1:13" x14ac:dyDescent="0.2">
      <c r="A8" s="11" t="s">
        <v>34</v>
      </c>
      <c r="B8" s="15">
        <v>15760.3</v>
      </c>
      <c r="C8" s="15">
        <v>15257.3</v>
      </c>
      <c r="D8" s="15">
        <v>21779.63</v>
      </c>
      <c r="E8" s="15">
        <v>19202.23</v>
      </c>
      <c r="F8" s="15">
        <v>29564.35</v>
      </c>
      <c r="G8" s="15">
        <v>33665.58</v>
      </c>
      <c r="H8" s="15">
        <v>31284.799999999999</v>
      </c>
      <c r="I8" s="16">
        <v>33313.440000000002</v>
      </c>
      <c r="J8" s="16">
        <v>34260.46</v>
      </c>
      <c r="K8" s="15">
        <v>29606.560000000001</v>
      </c>
      <c r="L8" s="16">
        <v>31647.81</v>
      </c>
      <c r="M8" s="17">
        <v>35050.03</v>
      </c>
    </row>
    <row r="9" spans="1:13" x14ac:dyDescent="0.2">
      <c r="A9" s="6" t="s">
        <v>48</v>
      </c>
      <c r="B9" s="18">
        <v>633.86</v>
      </c>
      <c r="C9" s="18">
        <v>633.86</v>
      </c>
      <c r="D9" s="18">
        <v>633.86</v>
      </c>
      <c r="E9" s="18">
        <v>633.86</v>
      </c>
      <c r="F9" s="18">
        <v>633.86</v>
      </c>
      <c r="G9" s="18">
        <v>633.86</v>
      </c>
      <c r="H9" s="18">
        <v>633.86</v>
      </c>
      <c r="I9" s="19">
        <v>633.86</v>
      </c>
      <c r="J9" s="19">
        <v>0</v>
      </c>
      <c r="K9" s="30">
        <v>0</v>
      </c>
      <c r="L9" s="19">
        <v>0</v>
      </c>
      <c r="M9" s="20">
        <v>0</v>
      </c>
    </row>
    <row r="10" spans="1:13" x14ac:dyDescent="0.2">
      <c r="A10" s="11" t="s">
        <v>35</v>
      </c>
      <c r="B10" s="15">
        <f>(B8+B9)/B7</f>
        <v>0.1642273555987418</v>
      </c>
      <c r="C10" s="15">
        <f>(C8+C9)/C7</f>
        <v>0.15116442330558857</v>
      </c>
      <c r="D10" s="15">
        <f t="shared" ref="D10:M10" si="1">(D8+D9)/D7</f>
        <v>0.19493211921969719</v>
      </c>
      <c r="E10" s="15">
        <f t="shared" si="1"/>
        <v>0.16388586866717342</v>
      </c>
      <c r="F10" s="15">
        <f>(F8+F9)/F7</f>
        <v>0.23731216257632554</v>
      </c>
      <c r="G10" s="15">
        <f>(G8+G9)/G7</f>
        <v>0.25876800277633177</v>
      </c>
      <c r="H10" s="15">
        <f t="shared" si="1"/>
        <v>0.24284379588700289</v>
      </c>
      <c r="I10" s="15">
        <f t="shared" si="1"/>
        <v>0.25042638575369952</v>
      </c>
      <c r="J10" s="15">
        <f t="shared" si="1"/>
        <v>0.24597202877532559</v>
      </c>
      <c r="K10" s="15">
        <f t="shared" si="1"/>
        <v>0.207717230395768</v>
      </c>
      <c r="L10" s="15">
        <f t="shared" si="1"/>
        <v>0.21672722665826635</v>
      </c>
      <c r="M10" s="17">
        <f t="shared" si="1"/>
        <v>0.2341523425234987</v>
      </c>
    </row>
    <row r="11" spans="1:13" x14ac:dyDescent="0.2">
      <c r="A11" s="6" t="s">
        <v>30</v>
      </c>
      <c r="B11" s="21">
        <f>B7/B6</f>
        <v>0.52545531108537746</v>
      </c>
      <c r="C11" s="21">
        <f>C7/C6</f>
        <v>0.52587479052549957</v>
      </c>
      <c r="D11" s="21">
        <f>D7/D6</f>
        <v>0.53939399625645623</v>
      </c>
      <c r="E11" s="21">
        <f t="shared" ref="E11:M11" si="2">E7/E6</f>
        <v>0.54096719406453919</v>
      </c>
      <c r="F11" s="21">
        <f t="shared" si="2"/>
        <v>0.5418533153923456</v>
      </c>
      <c r="G11" s="21">
        <f t="shared" si="2"/>
        <v>0.54679900498743861</v>
      </c>
      <c r="H11" s="21">
        <f t="shared" si="2"/>
        <v>0.52591629321382838</v>
      </c>
      <c r="I11" s="21">
        <f t="shared" si="2"/>
        <v>0.5281082723638999</v>
      </c>
      <c r="J11" s="21">
        <f t="shared" si="2"/>
        <v>0.52955825155974956</v>
      </c>
      <c r="K11" s="21">
        <f t="shared" si="2"/>
        <v>0.52782180417715896</v>
      </c>
      <c r="L11" s="21">
        <f t="shared" si="2"/>
        <v>0.52573292482277678</v>
      </c>
      <c r="M11" s="22">
        <f t="shared" si="2"/>
        <v>0.51799086441968301</v>
      </c>
    </row>
    <row r="12" spans="1:13" x14ac:dyDescent="0.2">
      <c r="A12" s="11" t="s">
        <v>36</v>
      </c>
      <c r="B12" s="47">
        <v>367</v>
      </c>
      <c r="C12" s="47">
        <v>355</v>
      </c>
      <c r="D12" s="47">
        <v>652</v>
      </c>
      <c r="E12" s="47">
        <v>674</v>
      </c>
      <c r="F12" s="47">
        <v>636</v>
      </c>
      <c r="G12" s="47">
        <v>432</v>
      </c>
      <c r="H12" s="47">
        <v>502</v>
      </c>
      <c r="I12" s="47">
        <v>438</v>
      </c>
      <c r="J12" s="47">
        <v>368</v>
      </c>
      <c r="K12" s="47">
        <v>558</v>
      </c>
      <c r="L12" s="47">
        <v>435</v>
      </c>
      <c r="M12" s="48">
        <v>439</v>
      </c>
    </row>
    <row r="13" spans="1:13" ht="16" thickBot="1" x14ac:dyDescent="0.25">
      <c r="A13" s="45" t="s">
        <v>37</v>
      </c>
      <c r="B13" s="46">
        <v>3639</v>
      </c>
      <c r="C13" s="46">
        <v>4025</v>
      </c>
      <c r="D13" s="46">
        <v>4651</v>
      </c>
      <c r="E13" s="46">
        <f>D13+E12</f>
        <v>5325</v>
      </c>
      <c r="F13" s="46">
        <f>E13+F12</f>
        <v>5961</v>
      </c>
      <c r="G13" s="46">
        <f>F13+G12</f>
        <v>6393</v>
      </c>
      <c r="H13" s="46">
        <f t="shared" ref="H13:M13" si="3">G13+H12</f>
        <v>6895</v>
      </c>
      <c r="I13" s="46">
        <f t="shared" si="3"/>
        <v>7333</v>
      </c>
      <c r="J13" s="46">
        <f t="shared" si="3"/>
        <v>7701</v>
      </c>
      <c r="K13" s="46">
        <f t="shared" si="3"/>
        <v>8259</v>
      </c>
      <c r="L13" s="46">
        <f t="shared" si="3"/>
        <v>8694</v>
      </c>
      <c r="M13" s="51">
        <f t="shared" si="3"/>
        <v>9133</v>
      </c>
    </row>
    <row r="14" spans="1:13" ht="17" thickTop="1" thickBot="1" x14ac:dyDescent="0.25">
      <c r="A14" s="27" t="s">
        <v>38</v>
      </c>
      <c r="B14" s="28">
        <f t="shared" ref="B14:L14" si="4">B10*B13</f>
        <v>597.62334702382145</v>
      </c>
      <c r="C14" s="28">
        <f t="shared" si="4"/>
        <v>608.43680380499404</v>
      </c>
      <c r="D14" s="28">
        <f t="shared" si="4"/>
        <v>906.62928649081164</v>
      </c>
      <c r="E14" s="28">
        <f t="shared" si="4"/>
        <v>872.69225065269848</v>
      </c>
      <c r="F14" s="28">
        <f>F10*F13</f>
        <v>1414.6178011174766</v>
      </c>
      <c r="G14" s="28">
        <f t="shared" si="4"/>
        <v>1654.3038417490891</v>
      </c>
      <c r="H14" s="28">
        <f t="shared" si="4"/>
        <v>1674.407972640885</v>
      </c>
      <c r="I14" s="28">
        <f t="shared" si="4"/>
        <v>1836.3766867318786</v>
      </c>
      <c r="J14" s="28">
        <f t="shared" si="4"/>
        <v>1894.2305935987824</v>
      </c>
      <c r="K14" s="28">
        <f t="shared" si="4"/>
        <v>1715.536605838648</v>
      </c>
      <c r="L14" s="28">
        <f t="shared" si="4"/>
        <v>1884.2265085669676</v>
      </c>
      <c r="M14" s="29">
        <f>M10*M13</f>
        <v>2138.5133442671136</v>
      </c>
    </row>
    <row r="16" spans="1:13" x14ac:dyDescent="0.2">
      <c r="A16" s="52" t="s">
        <v>39</v>
      </c>
      <c r="B16" s="52"/>
      <c r="C16" s="52"/>
      <c r="D16" s="52"/>
      <c r="E16" s="52"/>
      <c r="F16" s="52"/>
      <c r="G16" s="52"/>
      <c r="H16" s="53"/>
      <c r="I16" s="54">
        <f>33313.44 - I14</f>
        <v>31477.063313268125</v>
      </c>
      <c r="J16" s="54">
        <f>J8-J14</f>
        <v>32366.229406401217</v>
      </c>
      <c r="K16" s="54">
        <f>K8-K14</f>
        <v>27891.023394161355</v>
      </c>
      <c r="L16" s="54">
        <f>L8-L14</f>
        <v>29763.583491433033</v>
      </c>
      <c r="M16" s="54">
        <f>M8-M14</f>
        <v>32911.516655732885</v>
      </c>
    </row>
    <row r="17" spans="1:13" x14ac:dyDescent="0.2">
      <c r="B17" s="59"/>
    </row>
    <row r="18" spans="1:13" x14ac:dyDescent="0.2">
      <c r="L18" s="55">
        <f>L16-1958.75</f>
        <v>27804.833491433033</v>
      </c>
      <c r="M18" s="55"/>
    </row>
    <row r="21" spans="1:13" x14ac:dyDescent="0.2">
      <c r="A21" s="5" t="s">
        <v>49</v>
      </c>
      <c r="B21" s="55">
        <f t="shared" ref="B21:M21" si="5">B8+B9</f>
        <v>16394.16</v>
      </c>
      <c r="C21" s="55">
        <f t="shared" si="5"/>
        <v>15891.16</v>
      </c>
      <c r="D21" s="55">
        <f t="shared" si="5"/>
        <v>22413.49</v>
      </c>
      <c r="E21" s="55">
        <f t="shared" si="5"/>
        <v>19836.09</v>
      </c>
      <c r="F21" s="55">
        <f t="shared" si="5"/>
        <v>30198.21</v>
      </c>
      <c r="G21" s="55">
        <f t="shared" si="5"/>
        <v>34299.440000000002</v>
      </c>
      <c r="H21" s="55">
        <f t="shared" si="5"/>
        <v>31918.66</v>
      </c>
      <c r="I21" s="55">
        <f t="shared" si="5"/>
        <v>33947.300000000003</v>
      </c>
      <c r="J21" s="55">
        <f t="shared" si="5"/>
        <v>34260.46</v>
      </c>
      <c r="K21" s="55">
        <f t="shared" si="5"/>
        <v>29606.560000000001</v>
      </c>
      <c r="L21" s="55">
        <f t="shared" si="5"/>
        <v>31647.81</v>
      </c>
      <c r="M21" s="55">
        <f t="shared" si="5"/>
        <v>35050.03</v>
      </c>
    </row>
    <row r="22" spans="1:13" x14ac:dyDescent="0.2">
      <c r="G22" s="38"/>
    </row>
    <row r="23" spans="1:13" x14ac:dyDescent="0.2">
      <c r="K23" s="5" t="s">
        <v>50</v>
      </c>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82FF9-E67B-BD4A-BCB1-2A8FD335EAF2}">
  <dimension ref="A1:N21"/>
  <sheetViews>
    <sheetView zoomScale="140" zoomScaleNormal="140" workbookViewId="0">
      <selection activeCell="D37" sqref="D37"/>
    </sheetView>
  </sheetViews>
  <sheetFormatPr baseColWidth="10" defaultColWidth="10.83203125" defaultRowHeight="15" x14ac:dyDescent="0.2"/>
  <cols>
    <col min="1" max="1" width="41.33203125" style="5" bestFit="1" customWidth="1"/>
    <col min="2" max="2" width="9.83203125" style="5" customWidth="1"/>
    <col min="3" max="6" width="10.1640625" style="5" bestFit="1" customWidth="1"/>
    <col min="7" max="7" width="11.1640625" style="5" bestFit="1" customWidth="1"/>
    <col min="8" max="10" width="11.1640625" style="5" customWidth="1"/>
    <col min="11" max="13" width="11.1640625" style="5" bestFit="1" customWidth="1"/>
    <col min="14" max="16384" width="10.83203125" style="5"/>
  </cols>
  <sheetData>
    <row r="1" spans="1:14" ht="16" thickBot="1" x14ac:dyDescent="0.25">
      <c r="A1" s="31" t="s">
        <v>51</v>
      </c>
      <c r="B1" s="32">
        <v>104017</v>
      </c>
    </row>
    <row r="2" spans="1:14" ht="16" thickBot="1" x14ac:dyDescent="0.25"/>
    <row r="3" spans="1:14" ht="16" thickBot="1" x14ac:dyDescent="0.25">
      <c r="A3" s="1"/>
      <c r="B3" s="2" t="s">
        <v>8</v>
      </c>
      <c r="C3" s="2" t="s">
        <v>9</v>
      </c>
      <c r="D3" s="2" t="s">
        <v>10</v>
      </c>
      <c r="E3" s="2" t="s">
        <v>11</v>
      </c>
      <c r="F3" s="2" t="s">
        <v>12</v>
      </c>
      <c r="G3" s="3" t="s">
        <v>13</v>
      </c>
      <c r="H3" s="3" t="s">
        <v>14</v>
      </c>
      <c r="I3" s="3" t="s">
        <v>15</v>
      </c>
      <c r="J3" s="3" t="s">
        <v>16</v>
      </c>
      <c r="K3" s="2" t="s">
        <v>17</v>
      </c>
      <c r="L3" s="3" t="s">
        <v>18</v>
      </c>
      <c r="M3" s="4" t="s">
        <v>19</v>
      </c>
    </row>
    <row r="4" spans="1:14" ht="16" thickBot="1" x14ac:dyDescent="0.25">
      <c r="A4" s="6" t="s">
        <v>52</v>
      </c>
      <c r="B4" s="33">
        <v>6501</v>
      </c>
      <c r="C4" s="7">
        <v>7196</v>
      </c>
      <c r="D4" s="33">
        <v>6983</v>
      </c>
      <c r="E4" s="33">
        <v>5111</v>
      </c>
      <c r="F4" s="7">
        <v>4105</v>
      </c>
      <c r="G4" s="7">
        <v>8035</v>
      </c>
      <c r="H4" s="8">
        <v>4553</v>
      </c>
      <c r="I4" s="9">
        <v>4923</v>
      </c>
      <c r="J4" s="9">
        <v>5963</v>
      </c>
      <c r="K4" s="8">
        <v>7581</v>
      </c>
      <c r="L4" s="9">
        <v>3972</v>
      </c>
      <c r="M4" s="10">
        <v>13537</v>
      </c>
    </row>
    <row r="5" spans="1:14" ht="16" thickTop="1" x14ac:dyDescent="0.2">
      <c r="A5" s="11" t="s">
        <v>22</v>
      </c>
      <c r="B5" s="13">
        <f>B4+B1</f>
        <v>110518</v>
      </c>
      <c r="C5" s="13">
        <f>B5+C4</f>
        <v>117714</v>
      </c>
      <c r="D5" s="12">
        <f t="shared" ref="D5:M5" si="0">C5+D4</f>
        <v>124697</v>
      </c>
      <c r="E5" s="12">
        <f t="shared" si="0"/>
        <v>129808</v>
      </c>
      <c r="F5" s="13">
        <f t="shared" si="0"/>
        <v>133913</v>
      </c>
      <c r="G5" s="13">
        <f t="shared" si="0"/>
        <v>141948</v>
      </c>
      <c r="H5" s="13">
        <f t="shared" si="0"/>
        <v>146501</v>
      </c>
      <c r="I5" s="13">
        <f t="shared" si="0"/>
        <v>151424</v>
      </c>
      <c r="J5" s="13">
        <f t="shared" si="0"/>
        <v>157387</v>
      </c>
      <c r="K5" s="13">
        <f t="shared" si="0"/>
        <v>164968</v>
      </c>
      <c r="L5" s="13">
        <f t="shared" si="0"/>
        <v>168940</v>
      </c>
      <c r="M5" s="14">
        <f t="shared" si="0"/>
        <v>182477</v>
      </c>
    </row>
    <row r="6" spans="1:14" x14ac:dyDescent="0.2">
      <c r="A6" s="6" t="s">
        <v>53</v>
      </c>
      <c r="B6" s="8">
        <v>57638</v>
      </c>
      <c r="C6" s="8">
        <v>61619</v>
      </c>
      <c r="D6" s="8">
        <v>66518</v>
      </c>
      <c r="E6" s="8">
        <v>70208</v>
      </c>
      <c r="F6" s="8">
        <v>74951</v>
      </c>
      <c r="G6" s="8">
        <v>77997</v>
      </c>
      <c r="H6" s="8">
        <v>80779</v>
      </c>
      <c r="I6" s="9">
        <v>83789</v>
      </c>
      <c r="J6" s="9">
        <v>86251</v>
      </c>
      <c r="K6" s="8">
        <v>88317</v>
      </c>
      <c r="L6" s="9">
        <v>90841</v>
      </c>
      <c r="M6" s="10">
        <v>94908</v>
      </c>
      <c r="N6" s="112"/>
    </row>
    <row r="7" spans="1:14" x14ac:dyDescent="0.2">
      <c r="A7" s="11" t="s">
        <v>34</v>
      </c>
      <c r="B7" s="15">
        <v>7860.19</v>
      </c>
      <c r="C7" s="15">
        <v>7111.24</v>
      </c>
      <c r="D7" s="15">
        <v>6833.96</v>
      </c>
      <c r="E7" s="15">
        <v>7171.4</v>
      </c>
      <c r="F7" s="15">
        <v>8096.27</v>
      </c>
      <c r="G7" s="15">
        <v>10095.459999999999</v>
      </c>
      <c r="H7" s="15">
        <v>10298.629999999999</v>
      </c>
      <c r="I7" s="16">
        <v>11798.98</v>
      </c>
      <c r="J7" s="16">
        <v>11690.17</v>
      </c>
      <c r="K7" s="15">
        <v>15569.48</v>
      </c>
      <c r="L7" s="16">
        <v>16720.54</v>
      </c>
      <c r="M7" s="17">
        <v>15671.14</v>
      </c>
    </row>
    <row r="8" spans="1:14" x14ac:dyDescent="0.2">
      <c r="A8" s="6" t="s">
        <v>48</v>
      </c>
      <c r="B8" s="18">
        <v>633.86</v>
      </c>
      <c r="C8" s="18">
        <v>633.86</v>
      </c>
      <c r="D8" s="18">
        <v>633.86</v>
      </c>
      <c r="E8" s="18">
        <v>633.86</v>
      </c>
      <c r="F8" s="18">
        <v>633.86</v>
      </c>
      <c r="G8" s="18">
        <v>633.86</v>
      </c>
      <c r="H8" s="18">
        <v>633.86</v>
      </c>
      <c r="I8" s="19">
        <v>633.86</v>
      </c>
      <c r="J8" s="19">
        <v>633.86</v>
      </c>
      <c r="K8" s="30">
        <v>633.86</v>
      </c>
      <c r="L8" s="19">
        <v>633.86</v>
      </c>
      <c r="M8" s="20">
        <v>633.86</v>
      </c>
    </row>
    <row r="9" spans="1:14" x14ac:dyDescent="0.2">
      <c r="A9" s="11" t="s">
        <v>54</v>
      </c>
      <c r="B9" s="15">
        <f>(B7+B8)/B6</f>
        <v>0.14736892327978068</v>
      </c>
      <c r="C9" s="15">
        <f>(C7+C8)/C6</f>
        <v>0.12569337379704312</v>
      </c>
      <c r="D9" s="15">
        <f t="shared" ref="D9:M9" si="1">(D7+D8)/D6</f>
        <v>0.11226765687483087</v>
      </c>
      <c r="E9" s="15">
        <f t="shared" si="1"/>
        <v>0.11117337055606198</v>
      </c>
      <c r="F9" s="15">
        <f t="shared" si="1"/>
        <v>0.11647783218369336</v>
      </c>
      <c r="G9" s="15">
        <f t="shared" si="1"/>
        <v>0.13756067541059272</v>
      </c>
      <c r="H9" s="15">
        <f t="shared" si="1"/>
        <v>0.13533826860941581</v>
      </c>
      <c r="I9" s="15">
        <f t="shared" si="1"/>
        <v>0.14838272326916421</v>
      </c>
      <c r="J9" s="15">
        <f t="shared" si="1"/>
        <v>0.14288564770263534</v>
      </c>
      <c r="K9" s="15">
        <f t="shared" si="1"/>
        <v>0.18346796200052085</v>
      </c>
      <c r="L9" s="15">
        <f t="shared" si="1"/>
        <v>0.19104149007606699</v>
      </c>
      <c r="M9" s="17">
        <f t="shared" si="1"/>
        <v>0.17179795170059425</v>
      </c>
    </row>
    <row r="10" spans="1:14" x14ac:dyDescent="0.2">
      <c r="A10" s="6" t="s">
        <v>30</v>
      </c>
      <c r="B10" s="21">
        <f>B6/B5</f>
        <v>0.5215259052823974</v>
      </c>
      <c r="C10" s="21">
        <f>C6/C5</f>
        <v>0.52346364918361454</v>
      </c>
      <c r="D10" s="21">
        <f>D6/D5</f>
        <v>0.53343705141262421</v>
      </c>
      <c r="E10" s="21">
        <f t="shared" ref="E10:M10" si="2">E6/E5</f>
        <v>0.54086034759028723</v>
      </c>
      <c r="F10" s="21">
        <f t="shared" si="2"/>
        <v>0.55969920769454795</v>
      </c>
      <c r="G10" s="21">
        <f t="shared" si="2"/>
        <v>0.54947586440104823</v>
      </c>
      <c r="H10" s="21">
        <f t="shared" si="2"/>
        <v>0.5513887277219951</v>
      </c>
      <c r="I10" s="21">
        <f t="shared" si="2"/>
        <v>0.55334028951817416</v>
      </c>
      <c r="J10" s="21">
        <f t="shared" si="2"/>
        <v>0.54801857840863599</v>
      </c>
      <c r="K10" s="21">
        <f t="shared" si="2"/>
        <v>0.5353583725328549</v>
      </c>
      <c r="L10" s="21">
        <f t="shared" si="2"/>
        <v>0.53771161359062392</v>
      </c>
      <c r="M10" s="22">
        <f t="shared" si="2"/>
        <v>0.52010938364835024</v>
      </c>
    </row>
    <row r="11" spans="1:14" ht="16" thickBot="1" x14ac:dyDescent="0.25">
      <c r="A11" s="23" t="s">
        <v>37</v>
      </c>
      <c r="B11" s="24">
        <v>403</v>
      </c>
      <c r="C11" s="24">
        <f>B11+62</f>
        <v>465</v>
      </c>
      <c r="D11" s="25">
        <f>C11+106</f>
        <v>571</v>
      </c>
      <c r="E11" s="25">
        <f>D11+91</f>
        <v>662</v>
      </c>
      <c r="F11" s="26">
        <f>E11+130</f>
        <v>792</v>
      </c>
      <c r="G11" s="26">
        <f>F11+70</f>
        <v>862</v>
      </c>
      <c r="H11" s="39">
        <f>G11+59</f>
        <v>921</v>
      </c>
      <c r="I11" s="40">
        <f>H11+110</f>
        <v>1031</v>
      </c>
      <c r="J11" s="40">
        <f>I11+147</f>
        <v>1178</v>
      </c>
      <c r="K11" s="39">
        <f>J11+204</f>
        <v>1382</v>
      </c>
      <c r="L11" s="40">
        <f>K11+239</f>
        <v>1621</v>
      </c>
      <c r="M11" s="41">
        <f>L11+320</f>
        <v>1941</v>
      </c>
    </row>
    <row r="12" spans="1:14" ht="17" thickTop="1" thickBot="1" x14ac:dyDescent="0.25">
      <c r="A12" s="27" t="s">
        <v>38</v>
      </c>
      <c r="B12" s="28">
        <f t="shared" ref="B12:L12" si="3">B9*B11</f>
        <v>59.389676081751617</v>
      </c>
      <c r="C12" s="28">
        <f t="shared" si="3"/>
        <v>58.447418815625049</v>
      </c>
      <c r="D12" s="28">
        <f t="shared" si="3"/>
        <v>64.104832075528421</v>
      </c>
      <c r="E12" s="28">
        <f t="shared" si="3"/>
        <v>73.596771308113034</v>
      </c>
      <c r="F12" s="28">
        <f>F9*F11</f>
        <v>92.250443089485131</v>
      </c>
      <c r="G12" s="28">
        <f t="shared" si="3"/>
        <v>118.57730220393093</v>
      </c>
      <c r="H12" s="28">
        <f t="shared" si="3"/>
        <v>124.64654538927196</v>
      </c>
      <c r="I12" s="28">
        <f t="shared" si="3"/>
        <v>152.9825876905083</v>
      </c>
      <c r="J12" s="28">
        <f t="shared" si="3"/>
        <v>168.31929299370444</v>
      </c>
      <c r="K12" s="28">
        <f t="shared" si="3"/>
        <v>253.55272348471982</v>
      </c>
      <c r="L12" s="28">
        <f t="shared" si="3"/>
        <v>309.67825541330461</v>
      </c>
      <c r="M12" s="29">
        <f>M9*M11</f>
        <v>333.45982425085344</v>
      </c>
    </row>
    <row r="14" spans="1:14" x14ac:dyDescent="0.2">
      <c r="A14" s="5" t="s">
        <v>55</v>
      </c>
      <c r="B14" s="35">
        <v>6496</v>
      </c>
      <c r="D14" s="35">
        <v>6971</v>
      </c>
      <c r="E14" s="5">
        <v>5105</v>
      </c>
    </row>
    <row r="15" spans="1:14" ht="16" x14ac:dyDescent="0.2">
      <c r="A15" s="36" t="s">
        <v>56</v>
      </c>
      <c r="B15" s="37">
        <f>B4-B14</f>
        <v>5</v>
      </c>
      <c r="C15" s="37"/>
      <c r="D15" s="37">
        <f t="shared" ref="D15:E15" si="4">D4-D14</f>
        <v>12</v>
      </c>
      <c r="E15" s="37">
        <f t="shared" si="4"/>
        <v>6</v>
      </c>
    </row>
    <row r="17" spans="1:13" x14ac:dyDescent="0.2">
      <c r="A17" s="5" t="s">
        <v>57</v>
      </c>
      <c r="B17" s="55">
        <f>B7+B8</f>
        <v>8494.0499999999993</v>
      </c>
      <c r="C17" s="55">
        <f t="shared" ref="C17:M17" si="5">C7+C8</f>
        <v>7745.0999999999995</v>
      </c>
      <c r="D17" s="55">
        <f t="shared" si="5"/>
        <v>7467.82</v>
      </c>
      <c r="E17" s="55">
        <f t="shared" si="5"/>
        <v>7805.2599999999993</v>
      </c>
      <c r="F17" s="55">
        <f t="shared" si="5"/>
        <v>8730.130000000001</v>
      </c>
      <c r="G17" s="55">
        <f t="shared" si="5"/>
        <v>10729.32</v>
      </c>
      <c r="H17" s="55">
        <f t="shared" si="5"/>
        <v>10932.49</v>
      </c>
      <c r="I17" s="55">
        <f t="shared" si="5"/>
        <v>12432.84</v>
      </c>
      <c r="J17" s="55">
        <f t="shared" si="5"/>
        <v>12324.03</v>
      </c>
      <c r="K17" s="55">
        <f t="shared" si="5"/>
        <v>16203.34</v>
      </c>
      <c r="L17" s="55">
        <f t="shared" si="5"/>
        <v>17354.400000000001</v>
      </c>
      <c r="M17" s="55">
        <f t="shared" si="5"/>
        <v>16305</v>
      </c>
    </row>
    <row r="19" spans="1:13" x14ac:dyDescent="0.2">
      <c r="G19" s="34"/>
    </row>
    <row r="20" spans="1:13" x14ac:dyDescent="0.2">
      <c r="G20" s="38"/>
    </row>
    <row r="21" spans="1:13" x14ac:dyDescent="0.2">
      <c r="K21" s="5" t="s">
        <v>50</v>
      </c>
    </row>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86866-CD2C-4344-B0B0-3972EF100116}">
  <dimension ref="B1:W7"/>
  <sheetViews>
    <sheetView topLeftCell="A2" zoomScale="110" workbookViewId="0">
      <selection activeCell="B7" activeCellId="1" sqref="B3:M4 B7:M7"/>
    </sheetView>
  </sheetViews>
  <sheetFormatPr baseColWidth="10" defaultColWidth="10.83203125" defaultRowHeight="15" x14ac:dyDescent="0.2"/>
  <cols>
    <col min="2" max="2" width="38.83203125" bestFit="1" customWidth="1"/>
  </cols>
  <sheetData>
    <row r="1" spans="2:23" ht="16" thickBot="1" x14ac:dyDescent="0.25"/>
    <row r="2" spans="2:23" ht="19" x14ac:dyDescent="0.25">
      <c r="B2" s="88"/>
      <c r="C2" s="145" t="s">
        <v>58</v>
      </c>
      <c r="D2" s="146"/>
      <c r="E2" s="146"/>
      <c r="F2" s="146"/>
      <c r="G2" s="146"/>
      <c r="H2" s="146"/>
      <c r="I2" s="146"/>
      <c r="J2" s="146"/>
      <c r="K2" s="147"/>
      <c r="L2" s="148" t="s">
        <v>59</v>
      </c>
      <c r="M2" s="146"/>
      <c r="N2" s="146"/>
      <c r="O2" s="146"/>
      <c r="P2" s="146"/>
      <c r="Q2" s="146"/>
      <c r="R2" s="146"/>
      <c r="S2" s="146"/>
      <c r="T2" s="146"/>
      <c r="U2" s="146"/>
      <c r="V2" s="146"/>
      <c r="W2" s="147"/>
    </row>
    <row r="3" spans="2:23" x14ac:dyDescent="0.2">
      <c r="B3" s="89"/>
      <c r="C3" s="97" t="s">
        <v>60</v>
      </c>
      <c r="D3" s="78" t="s">
        <v>61</v>
      </c>
      <c r="E3" s="78" t="s">
        <v>62</v>
      </c>
      <c r="F3" s="78" t="s">
        <v>63</v>
      </c>
      <c r="G3" s="78" t="s">
        <v>64</v>
      </c>
      <c r="H3" s="78" t="s">
        <v>65</v>
      </c>
      <c r="I3" s="78" t="s">
        <v>66</v>
      </c>
      <c r="J3" s="78" t="s">
        <v>67</v>
      </c>
      <c r="K3" s="81" t="s">
        <v>68</v>
      </c>
      <c r="L3" s="93" t="s">
        <v>69</v>
      </c>
      <c r="M3" s="78" t="s">
        <v>9</v>
      </c>
      <c r="N3" s="78" t="s">
        <v>70</v>
      </c>
      <c r="O3" s="78" t="s">
        <v>60</v>
      </c>
      <c r="P3" s="78" t="s">
        <v>61</v>
      </c>
      <c r="Q3" s="78" t="s">
        <v>62</v>
      </c>
      <c r="R3" s="78" t="s">
        <v>63</v>
      </c>
      <c r="S3" s="78" t="s">
        <v>64</v>
      </c>
      <c r="T3" s="78" t="s">
        <v>65</v>
      </c>
      <c r="U3" s="78" t="s">
        <v>66</v>
      </c>
      <c r="V3" s="78" t="s">
        <v>67</v>
      </c>
      <c r="W3" s="81" t="s">
        <v>68</v>
      </c>
    </row>
    <row r="4" spans="2:23" x14ac:dyDescent="0.2">
      <c r="B4" s="90" t="s">
        <v>36</v>
      </c>
      <c r="C4" s="98">
        <v>859</v>
      </c>
      <c r="D4" s="79">
        <v>726</v>
      </c>
      <c r="E4" s="79">
        <v>546</v>
      </c>
      <c r="F4" s="79">
        <v>702</v>
      </c>
      <c r="G4" s="79">
        <v>668</v>
      </c>
      <c r="H4" s="79">
        <v>661</v>
      </c>
      <c r="I4" s="79">
        <v>765</v>
      </c>
      <c r="J4" s="79">
        <v>699</v>
      </c>
      <c r="K4" s="83">
        <v>600</v>
      </c>
      <c r="L4" s="94">
        <f>'FY25'!B10</f>
        <v>680</v>
      </c>
      <c r="M4" s="79">
        <f>'FY25'!C10</f>
        <v>730</v>
      </c>
      <c r="N4" s="79">
        <f>'FY25'!D10</f>
        <v>827</v>
      </c>
      <c r="O4" s="79">
        <f>'FY25'!E10</f>
        <v>954</v>
      </c>
      <c r="P4" s="79">
        <f>'FY25'!F10</f>
        <v>856</v>
      </c>
      <c r="Q4" s="79">
        <f>'FY25'!G10</f>
        <v>707</v>
      </c>
      <c r="R4" s="79">
        <f>'FY25'!H10</f>
        <v>847</v>
      </c>
      <c r="S4" s="79">
        <f>'FY25'!I10</f>
        <v>873</v>
      </c>
      <c r="T4" s="79">
        <f>'FY25'!J10</f>
        <v>977</v>
      </c>
      <c r="U4" s="79">
        <f>'FY25'!K10</f>
        <v>962</v>
      </c>
      <c r="V4" s="79">
        <f>'FY25'!L10</f>
        <v>1014</v>
      </c>
      <c r="W4" s="83">
        <f>'FY25'!M10</f>
        <v>921</v>
      </c>
    </row>
    <row r="5" spans="2:23" x14ac:dyDescent="0.2">
      <c r="B5" s="91" t="s">
        <v>37</v>
      </c>
      <c r="C5" s="99">
        <v>8628</v>
      </c>
      <c r="D5" s="80">
        <v>8879</v>
      </c>
      <c r="E5" s="80">
        <v>9434</v>
      </c>
      <c r="F5" s="80">
        <v>9690</v>
      </c>
      <c r="G5" s="80">
        <v>10236</v>
      </c>
      <c r="H5" s="80">
        <v>10826</v>
      </c>
      <c r="I5" s="80">
        <v>9612</v>
      </c>
      <c r="J5" s="80">
        <v>9874</v>
      </c>
      <c r="K5" s="84">
        <v>10062</v>
      </c>
      <c r="L5" s="95">
        <f>'FY25'!B11</f>
        <v>10265</v>
      </c>
      <c r="M5" s="80">
        <f>'FY25'!C11</f>
        <v>10400</v>
      </c>
      <c r="N5" s="80">
        <f>'FY25'!D11</f>
        <v>10584</v>
      </c>
      <c r="O5" s="80">
        <f>'FY25'!E11</f>
        <v>10720</v>
      </c>
      <c r="P5" s="80">
        <f>'FY25'!F11</f>
        <v>10917</v>
      </c>
      <c r="Q5" s="80">
        <f>'FY25'!G11</f>
        <v>11076</v>
      </c>
      <c r="R5" s="80">
        <f>'FY25'!H11</f>
        <v>11280</v>
      </c>
      <c r="S5" s="80">
        <f>'FY25'!I11</f>
        <v>11521</v>
      </c>
      <c r="T5" s="80">
        <f>'FY25'!J11</f>
        <v>11833</v>
      </c>
      <c r="U5" s="80">
        <f>'FY25'!K11</f>
        <v>11963</v>
      </c>
      <c r="V5" s="80">
        <f>'FY25'!L11</f>
        <v>12165</v>
      </c>
      <c r="W5" s="84">
        <f>'FY25'!M11</f>
        <v>12459</v>
      </c>
    </row>
    <row r="6" spans="2:23" x14ac:dyDescent="0.2">
      <c r="B6" s="90" t="s">
        <v>71</v>
      </c>
      <c r="C6" s="82"/>
      <c r="D6" s="100">
        <f>D5-C5</f>
        <v>251</v>
      </c>
      <c r="E6" s="100">
        <f t="shared" ref="E6:M6" si="0">E5-D5</f>
        <v>555</v>
      </c>
      <c r="F6" s="100">
        <f t="shared" si="0"/>
        <v>256</v>
      </c>
      <c r="G6" s="100">
        <f t="shared" si="0"/>
        <v>546</v>
      </c>
      <c r="H6" s="100">
        <f t="shared" si="0"/>
        <v>590</v>
      </c>
      <c r="I6" s="100">
        <f t="shared" si="0"/>
        <v>-1214</v>
      </c>
      <c r="J6" s="100">
        <f t="shared" si="0"/>
        <v>262</v>
      </c>
      <c r="K6" s="101">
        <f t="shared" si="0"/>
        <v>188</v>
      </c>
      <c r="L6" s="102">
        <f t="shared" si="0"/>
        <v>203</v>
      </c>
      <c r="M6" s="100">
        <f t="shared" si="0"/>
        <v>135</v>
      </c>
      <c r="N6" s="100">
        <f t="shared" ref="N6" si="1">N5-M5</f>
        <v>184</v>
      </c>
      <c r="O6" s="100">
        <f t="shared" ref="O6" si="2">O5-N5</f>
        <v>136</v>
      </c>
      <c r="P6" s="100">
        <f t="shared" ref="P6" si="3">P5-O5</f>
        <v>197</v>
      </c>
      <c r="Q6" s="100">
        <f t="shared" ref="Q6" si="4">Q5-P5</f>
        <v>159</v>
      </c>
      <c r="R6" s="100">
        <f t="shared" ref="R6" si="5">R5-Q5</f>
        <v>204</v>
      </c>
      <c r="S6" s="100">
        <f t="shared" ref="S6" si="6">S5-R5</f>
        <v>241</v>
      </c>
      <c r="T6" s="100">
        <f t="shared" ref="T6" si="7">T5-S5</f>
        <v>312</v>
      </c>
      <c r="U6" s="100">
        <f t="shared" ref="U6" si="8">U5-T5</f>
        <v>130</v>
      </c>
      <c r="V6" s="100">
        <f t="shared" ref="V6:W6" si="9">V5-U5</f>
        <v>202</v>
      </c>
      <c r="W6" s="101">
        <f t="shared" si="9"/>
        <v>294</v>
      </c>
    </row>
    <row r="7" spans="2:23" ht="16" thickBot="1" x14ac:dyDescent="0.25">
      <c r="B7" s="92" t="s">
        <v>72</v>
      </c>
      <c r="C7" s="85"/>
      <c r="D7" s="86">
        <f>D4-D6</f>
        <v>475</v>
      </c>
      <c r="E7" s="86">
        <f t="shared" ref="E7:M7" si="10">E4-E6</f>
        <v>-9</v>
      </c>
      <c r="F7" s="86">
        <f t="shared" si="10"/>
        <v>446</v>
      </c>
      <c r="G7" s="86">
        <f t="shared" si="10"/>
        <v>122</v>
      </c>
      <c r="H7" s="86">
        <f t="shared" si="10"/>
        <v>71</v>
      </c>
      <c r="I7" s="86">
        <f t="shared" si="10"/>
        <v>1979</v>
      </c>
      <c r="J7" s="86">
        <f t="shared" si="10"/>
        <v>437</v>
      </c>
      <c r="K7" s="87">
        <f t="shared" si="10"/>
        <v>412</v>
      </c>
      <c r="L7" s="96">
        <f t="shared" si="10"/>
        <v>477</v>
      </c>
      <c r="M7" s="86">
        <f t="shared" si="10"/>
        <v>595</v>
      </c>
      <c r="N7" s="86">
        <f t="shared" ref="N7" si="11">N4-N6</f>
        <v>643</v>
      </c>
      <c r="O7" s="86">
        <f t="shared" ref="O7" si="12">O4-O6</f>
        <v>818</v>
      </c>
      <c r="P7" s="86">
        <f t="shared" ref="P7" si="13">P4-P6</f>
        <v>659</v>
      </c>
      <c r="Q7" s="86">
        <f t="shared" ref="Q7" si="14">Q4-Q6</f>
        <v>548</v>
      </c>
      <c r="R7" s="86">
        <f t="shared" ref="R7" si="15">R4-R6</f>
        <v>643</v>
      </c>
      <c r="S7" s="86">
        <f t="shared" ref="S7" si="16">S4-S6</f>
        <v>632</v>
      </c>
      <c r="T7" s="86">
        <f t="shared" ref="T7" si="17">T4-T6</f>
        <v>665</v>
      </c>
      <c r="U7" s="86">
        <f t="shared" ref="U7" si="18">U4-U6</f>
        <v>832</v>
      </c>
      <c r="V7" s="86">
        <f t="shared" ref="V7" si="19">V4-V6</f>
        <v>812</v>
      </c>
      <c r="W7" s="87">
        <f t="shared" ref="W7" si="20">W4-W6</f>
        <v>627</v>
      </c>
    </row>
  </sheetData>
  <mergeCells count="2">
    <mergeCell ref="C2:K2"/>
    <mergeCell ref="L2:W2"/>
  </mergeCells>
  <phoneticPr fontId="7"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F8B00-DF6F-E740-A737-9B65F0C9471C}">
  <dimension ref="A1:AW4"/>
  <sheetViews>
    <sheetView zoomScale="84" workbookViewId="0"/>
  </sheetViews>
  <sheetFormatPr baseColWidth="10" defaultColWidth="10.83203125" defaultRowHeight="15" x14ac:dyDescent="0.2"/>
  <cols>
    <col min="1" max="1" width="15.33203125" bestFit="1" customWidth="1"/>
    <col min="26" max="26" width="11.1640625" bestFit="1" customWidth="1"/>
    <col min="38" max="38" width="11.1640625" bestFit="1" customWidth="1"/>
  </cols>
  <sheetData>
    <row r="1" spans="1:49" ht="16" thickBot="1" x14ac:dyDescent="0.25">
      <c r="B1" s="149" t="s">
        <v>73</v>
      </c>
      <c r="C1" s="150"/>
      <c r="D1" s="150"/>
      <c r="E1" s="150"/>
      <c r="F1" s="150"/>
      <c r="G1" s="150"/>
      <c r="H1" s="150"/>
      <c r="I1" s="150"/>
      <c r="J1" s="150"/>
      <c r="K1" s="150"/>
      <c r="L1" s="150"/>
      <c r="M1" s="151"/>
      <c r="N1" s="149" t="s">
        <v>74</v>
      </c>
      <c r="O1" s="150"/>
      <c r="P1" s="150"/>
      <c r="Q1" s="150"/>
      <c r="R1" s="150"/>
      <c r="S1" s="150"/>
      <c r="T1" s="150"/>
      <c r="U1" s="150"/>
      <c r="V1" s="150"/>
      <c r="W1" s="150"/>
      <c r="X1" s="150"/>
      <c r="Y1" s="151"/>
      <c r="Z1" s="149" t="s">
        <v>58</v>
      </c>
      <c r="AA1" s="150"/>
      <c r="AB1" s="150"/>
      <c r="AC1" s="150"/>
      <c r="AD1" s="150"/>
      <c r="AE1" s="150"/>
      <c r="AF1" s="150"/>
      <c r="AG1" s="150"/>
      <c r="AH1" s="150"/>
      <c r="AI1" s="150"/>
      <c r="AJ1" s="150"/>
      <c r="AK1" s="151"/>
      <c r="AL1" s="149" t="s">
        <v>59</v>
      </c>
      <c r="AM1" s="150"/>
      <c r="AN1" s="150"/>
      <c r="AO1" s="150"/>
      <c r="AP1" s="150"/>
      <c r="AQ1" s="150"/>
      <c r="AR1" s="150"/>
      <c r="AS1" s="150"/>
      <c r="AT1" s="150"/>
      <c r="AU1" s="150"/>
      <c r="AV1" s="150"/>
      <c r="AW1" s="151"/>
    </row>
    <row r="2" spans="1:49" x14ac:dyDescent="0.2">
      <c r="B2" s="61" t="s">
        <v>75</v>
      </c>
      <c r="C2" s="61" t="s">
        <v>76</v>
      </c>
      <c r="D2" s="61" t="s">
        <v>77</v>
      </c>
      <c r="E2" s="61" t="s">
        <v>78</v>
      </c>
      <c r="F2" s="61" t="s">
        <v>79</v>
      </c>
      <c r="G2" s="61" t="s">
        <v>80</v>
      </c>
      <c r="H2" s="61" t="s">
        <v>81</v>
      </c>
      <c r="I2" s="61" t="s">
        <v>82</v>
      </c>
      <c r="J2" s="61" t="s">
        <v>83</v>
      </c>
      <c r="K2" s="61" t="s">
        <v>84</v>
      </c>
      <c r="L2" s="61" t="s">
        <v>85</v>
      </c>
      <c r="M2" s="65" t="s">
        <v>86</v>
      </c>
      <c r="N2" s="61" t="s">
        <v>75</v>
      </c>
      <c r="O2" s="61" t="s">
        <v>76</v>
      </c>
      <c r="P2" s="61" t="s">
        <v>77</v>
      </c>
      <c r="Q2" s="61" t="s">
        <v>78</v>
      </c>
      <c r="R2" s="61" t="s">
        <v>79</v>
      </c>
      <c r="S2" s="61" t="s">
        <v>80</v>
      </c>
      <c r="T2" s="61" t="s">
        <v>81</v>
      </c>
      <c r="U2" s="61" t="s">
        <v>82</v>
      </c>
      <c r="V2" s="61" t="s">
        <v>83</v>
      </c>
      <c r="W2" s="61" t="s">
        <v>84</v>
      </c>
      <c r="X2" s="61" t="s">
        <v>85</v>
      </c>
      <c r="Y2" s="65" t="s">
        <v>86</v>
      </c>
      <c r="Z2" s="61" t="s">
        <v>75</v>
      </c>
      <c r="AA2" s="61" t="s">
        <v>76</v>
      </c>
      <c r="AB2" s="61" t="s">
        <v>77</v>
      </c>
      <c r="AC2" s="61" t="s">
        <v>78</v>
      </c>
      <c r="AD2" s="61" t="s">
        <v>79</v>
      </c>
      <c r="AE2" s="61" t="s">
        <v>80</v>
      </c>
      <c r="AF2" s="61" t="s">
        <v>81</v>
      </c>
      <c r="AG2" s="61" t="s">
        <v>82</v>
      </c>
      <c r="AH2" s="61" t="s">
        <v>83</v>
      </c>
      <c r="AI2" s="61" t="s">
        <v>84</v>
      </c>
      <c r="AJ2" s="61" t="s">
        <v>85</v>
      </c>
      <c r="AK2" s="65" t="s">
        <v>86</v>
      </c>
      <c r="AL2" s="61" t="s">
        <v>75</v>
      </c>
      <c r="AM2" s="61" t="s">
        <v>76</v>
      </c>
      <c r="AN2" s="61" t="s">
        <v>77</v>
      </c>
      <c r="AO2" s="61" t="s">
        <v>78</v>
      </c>
      <c r="AP2" s="61" t="s">
        <v>79</v>
      </c>
      <c r="AQ2" s="61" t="s">
        <v>80</v>
      </c>
      <c r="AR2" s="61" t="s">
        <v>81</v>
      </c>
      <c r="AS2" s="61" t="s">
        <v>82</v>
      </c>
      <c r="AT2" s="61" t="s">
        <v>83</v>
      </c>
      <c r="AU2" s="61" t="s">
        <v>84</v>
      </c>
      <c r="AV2" s="61" t="s">
        <v>85</v>
      </c>
      <c r="AW2" s="61" t="s">
        <v>86</v>
      </c>
    </row>
    <row r="3" spans="1:49" x14ac:dyDescent="0.2">
      <c r="A3" t="s">
        <v>87</v>
      </c>
      <c r="B3" s="63">
        <v>57638</v>
      </c>
      <c r="C3" s="63">
        <v>61619</v>
      </c>
      <c r="D3" s="63">
        <v>66518</v>
      </c>
      <c r="E3" s="63">
        <v>70208</v>
      </c>
      <c r="F3" s="63">
        <v>74951</v>
      </c>
      <c r="G3" s="63">
        <v>77997</v>
      </c>
      <c r="H3" s="63">
        <v>80779</v>
      </c>
      <c r="I3" s="63">
        <v>83789</v>
      </c>
      <c r="J3" s="63">
        <v>86251</v>
      </c>
      <c r="K3" s="63">
        <v>88317</v>
      </c>
      <c r="L3" s="63">
        <v>90841</v>
      </c>
      <c r="M3" s="66">
        <v>94908</v>
      </c>
      <c r="N3" s="62">
        <v>99826</v>
      </c>
      <c r="O3" s="62">
        <v>105125</v>
      </c>
      <c r="P3" s="62">
        <v>114981</v>
      </c>
      <c r="Q3" s="62">
        <v>121036</v>
      </c>
      <c r="R3" s="62">
        <v>127251</v>
      </c>
      <c r="S3" s="62">
        <v>132549</v>
      </c>
      <c r="T3" s="62">
        <v>131437</v>
      </c>
      <c r="U3" s="62">
        <v>135558</v>
      </c>
      <c r="V3" s="62">
        <v>139286</v>
      </c>
      <c r="W3" s="62">
        <v>142533</v>
      </c>
      <c r="X3" s="62">
        <v>146026</v>
      </c>
      <c r="Y3" s="68">
        <v>149689</v>
      </c>
      <c r="Z3" s="62">
        <f>'FY24'!B6</f>
        <v>156063</v>
      </c>
      <c r="AA3" s="62">
        <f>'FY24'!C6</f>
        <v>166317</v>
      </c>
      <c r="AB3" s="62">
        <f>'FY24'!D6</f>
        <v>172806</v>
      </c>
      <c r="AC3" s="62">
        <f>'FY24'!E6</f>
        <v>184126</v>
      </c>
      <c r="AD3" s="62">
        <f>'FY24'!F6</f>
        <v>193334</v>
      </c>
      <c r="AE3" s="62">
        <f>'FY24'!G6</f>
        <v>201802</v>
      </c>
      <c r="AF3" s="62">
        <f>'FY24'!H6</f>
        <v>205000</v>
      </c>
      <c r="AG3" s="62">
        <f>'FY24'!I6</f>
        <v>207754</v>
      </c>
      <c r="AH3" s="62">
        <f>'FY24'!J6</f>
        <v>216362</v>
      </c>
      <c r="AI3" s="62">
        <f>'FY24'!K6</f>
        <v>223917</v>
      </c>
      <c r="AJ3" s="62">
        <f>'FY24'!L6</f>
        <v>229685</v>
      </c>
      <c r="AK3" s="68">
        <f>'FY24'!M6</f>
        <v>246796</v>
      </c>
      <c r="AL3" s="63">
        <f>'FY25'!B6</f>
        <v>269593</v>
      </c>
      <c r="AM3" s="63">
        <f>'FY25'!C6</f>
        <v>294481</v>
      </c>
      <c r="AN3" s="63">
        <f>'FY25'!D6</f>
        <v>299991</v>
      </c>
      <c r="AO3" s="63">
        <f>'FY25'!E6</f>
        <v>304528</v>
      </c>
      <c r="AP3" s="63">
        <f>'FY25'!F6</f>
        <v>294532</v>
      </c>
      <c r="AQ3" s="63">
        <f>'FY25'!G6</f>
        <v>302743</v>
      </c>
      <c r="AR3" s="63">
        <f>'FY25'!H6</f>
        <v>311895</v>
      </c>
      <c r="AS3" s="63">
        <f>'FY25'!I6</f>
        <v>318949</v>
      </c>
      <c r="AT3" s="63">
        <f>'FY25'!J6</f>
        <v>328155</v>
      </c>
      <c r="AU3" s="63">
        <f>'FY25'!K6</f>
        <v>335302</v>
      </c>
      <c r="AV3" s="63">
        <f>'FY25'!L6</f>
        <v>341229</v>
      </c>
      <c r="AW3" s="63">
        <f>'FY25'!M6</f>
        <v>349395</v>
      </c>
    </row>
    <row r="4" spans="1:49" x14ac:dyDescent="0.2">
      <c r="A4" t="s">
        <v>34</v>
      </c>
      <c r="B4" s="64">
        <v>8494.0499999999993</v>
      </c>
      <c r="C4" s="64">
        <v>7745.0999999999995</v>
      </c>
      <c r="D4" s="64">
        <v>7467.82</v>
      </c>
      <c r="E4" s="64">
        <v>7805.2599999999993</v>
      </c>
      <c r="F4" s="64">
        <v>8730.130000000001</v>
      </c>
      <c r="G4" s="64">
        <v>10729.32</v>
      </c>
      <c r="H4" s="64">
        <v>10932.49</v>
      </c>
      <c r="I4" s="64">
        <v>12432.84</v>
      </c>
      <c r="J4" s="64">
        <v>12324.03</v>
      </c>
      <c r="K4" s="64">
        <v>16203.34</v>
      </c>
      <c r="L4" s="64">
        <v>17354.400000000001</v>
      </c>
      <c r="M4" s="67">
        <v>16305</v>
      </c>
      <c r="N4" s="64">
        <v>16394.16</v>
      </c>
      <c r="O4" s="64">
        <v>15891.16</v>
      </c>
      <c r="P4" s="64">
        <v>22413.49</v>
      </c>
      <c r="Q4" s="64">
        <v>19836.09</v>
      </c>
      <c r="R4" s="64">
        <v>30198.21</v>
      </c>
      <c r="S4" s="64">
        <v>34299.440000000002</v>
      </c>
      <c r="T4" s="64">
        <v>31918.66</v>
      </c>
      <c r="U4" s="64">
        <v>33947.300000000003</v>
      </c>
      <c r="V4" s="64">
        <v>34260.46</v>
      </c>
      <c r="W4" s="64">
        <v>29606.560000000001</v>
      </c>
      <c r="X4" s="64">
        <v>31647.81</v>
      </c>
      <c r="Y4" s="67">
        <v>35050.03</v>
      </c>
      <c r="Z4" s="64">
        <f>'FY24'!B7</f>
        <v>47433.74</v>
      </c>
      <c r="AA4" s="64">
        <f>'FY24'!C7</f>
        <v>37064.800000000003</v>
      </c>
      <c r="AB4" s="64">
        <f>'FY24'!D7</f>
        <v>82792.92</v>
      </c>
      <c r="AC4" s="64">
        <f>'FY24'!E7</f>
        <v>57395.01</v>
      </c>
      <c r="AD4" s="64">
        <f>'FY24'!F7</f>
        <v>50593.760000000002</v>
      </c>
      <c r="AE4" s="64">
        <f>'FY24'!G7</f>
        <v>37218.78</v>
      </c>
      <c r="AF4" s="64">
        <f>'FY24'!H7</f>
        <v>35622.870000000003</v>
      </c>
      <c r="AG4" s="64">
        <f>'FY24'!I7</f>
        <v>30300.5</v>
      </c>
      <c r="AH4" s="64">
        <f>'FY24'!J7</f>
        <v>31771.56</v>
      </c>
      <c r="AI4" s="64">
        <f>'FY24'!K7</f>
        <v>32731.200000000001</v>
      </c>
      <c r="AJ4" s="64">
        <f>'FY24'!L7</f>
        <v>22717.51</v>
      </c>
      <c r="AK4" s="67">
        <f>'FY24'!M7</f>
        <v>33627.65</v>
      </c>
      <c r="AL4" s="122">
        <f>'FY25'!B7</f>
        <v>35381.18</v>
      </c>
      <c r="AM4" s="122">
        <f>'FY25'!C7</f>
        <v>39890.720000000001</v>
      </c>
      <c r="AN4" s="122">
        <f>'FY25'!D7</f>
        <v>38431.53</v>
      </c>
      <c r="AO4" s="122">
        <f>'FY25'!E7</f>
        <v>38723.870000000003</v>
      </c>
      <c r="AP4" s="122">
        <f>'FY25'!F7</f>
        <v>40085.300000000003</v>
      </c>
      <c r="AQ4" s="122">
        <f>'FY25'!G7</f>
        <v>38310.35</v>
      </c>
      <c r="AR4" s="122">
        <f>'FY25'!H7</f>
        <v>36721.769999999997</v>
      </c>
      <c r="AS4" s="122">
        <f>'FY25'!I7</f>
        <v>42241.7</v>
      </c>
      <c r="AT4" s="122">
        <f>'FY25'!J7</f>
        <v>17017.5</v>
      </c>
      <c r="AU4" s="122">
        <f>'FY25'!K7</f>
        <v>55217.229999999996</v>
      </c>
      <c r="AV4" s="122">
        <f>'FY25'!L7</f>
        <v>35012.520000000004</v>
      </c>
      <c r="AW4" s="122">
        <f>'FY25'!M7</f>
        <v>45550.48</v>
      </c>
    </row>
  </sheetData>
  <mergeCells count="4">
    <mergeCell ref="B1:M1"/>
    <mergeCell ref="N1:Y1"/>
    <mergeCell ref="Z1:AK1"/>
    <mergeCell ref="AL1:AW1"/>
  </mergeCells>
  <phoneticPr fontId="7"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65B5-FF90-5149-85EB-40A9651F80A1}">
  <dimension ref="B2:E11"/>
  <sheetViews>
    <sheetView zoomScaleNormal="100" workbookViewId="0">
      <selection activeCell="D3" sqref="D3"/>
    </sheetView>
  </sheetViews>
  <sheetFormatPr baseColWidth="10" defaultColWidth="10.83203125" defaultRowHeight="16" x14ac:dyDescent="0.2"/>
  <cols>
    <col min="1" max="1" width="3.83203125" style="113" customWidth="1"/>
    <col min="2" max="2" width="4.5" style="113" bestFit="1" customWidth="1"/>
    <col min="3" max="3" width="59.5" style="113" customWidth="1"/>
    <col min="4" max="4" width="124.6640625" style="113" customWidth="1"/>
    <col min="5" max="5" width="58.83203125" style="113" bestFit="1" customWidth="1"/>
    <col min="6" max="16384" width="10.83203125" style="113"/>
  </cols>
  <sheetData>
    <row r="2" spans="2:5" x14ac:dyDescent="0.2">
      <c r="B2" s="114" t="s">
        <v>88</v>
      </c>
      <c r="C2" s="114" t="s">
        <v>1</v>
      </c>
      <c r="D2" s="114" t="s">
        <v>89</v>
      </c>
      <c r="E2" s="114" t="s">
        <v>90</v>
      </c>
    </row>
    <row r="3" spans="2:5" ht="34" x14ac:dyDescent="0.2">
      <c r="B3" s="120" t="s">
        <v>91</v>
      </c>
      <c r="C3" s="120" t="s">
        <v>21</v>
      </c>
      <c r="D3" s="138" t="s">
        <v>92</v>
      </c>
      <c r="E3" s="121" t="s">
        <v>93</v>
      </c>
    </row>
    <row r="4" spans="2:5" ht="34" x14ac:dyDescent="0.2">
      <c r="B4" s="115" t="s">
        <v>94</v>
      </c>
      <c r="C4" s="115" t="s">
        <v>22</v>
      </c>
      <c r="D4" s="116" t="s">
        <v>95</v>
      </c>
      <c r="E4" s="115"/>
    </row>
    <row r="5" spans="2:5" x14ac:dyDescent="0.2">
      <c r="B5" s="120" t="s">
        <v>96</v>
      </c>
      <c r="C5" s="120" t="s">
        <v>23</v>
      </c>
      <c r="D5" s="123" t="s">
        <v>97</v>
      </c>
      <c r="E5" s="120"/>
    </row>
    <row r="6" spans="2:5" x14ac:dyDescent="0.2">
      <c r="B6" s="115" t="s">
        <v>98</v>
      </c>
      <c r="C6" s="115" t="s">
        <v>34</v>
      </c>
      <c r="D6" s="115" t="s">
        <v>99</v>
      </c>
      <c r="E6" s="115"/>
    </row>
    <row r="7" spans="2:5" x14ac:dyDescent="0.2">
      <c r="B7" s="120" t="s">
        <v>100</v>
      </c>
      <c r="C7" s="120" t="s">
        <v>35</v>
      </c>
      <c r="D7" s="120" t="s">
        <v>101</v>
      </c>
      <c r="E7" s="120"/>
    </row>
    <row r="8" spans="2:5" x14ac:dyDescent="0.2">
      <c r="B8" s="115" t="s">
        <v>102</v>
      </c>
      <c r="C8" s="115" t="s">
        <v>30</v>
      </c>
      <c r="D8" s="124" t="s">
        <v>103</v>
      </c>
      <c r="E8" s="115"/>
    </row>
    <row r="9" spans="2:5" ht="51" x14ac:dyDescent="0.2">
      <c r="B9" s="120" t="s">
        <v>104</v>
      </c>
      <c r="C9" s="120" t="s">
        <v>36</v>
      </c>
      <c r="D9" s="121" t="s">
        <v>105</v>
      </c>
      <c r="E9" s="125" t="s">
        <v>106</v>
      </c>
    </row>
    <row r="10" spans="2:5" ht="76.5" customHeight="1" x14ac:dyDescent="0.2">
      <c r="B10" s="115" t="s">
        <v>107</v>
      </c>
      <c r="C10" s="115" t="s">
        <v>37</v>
      </c>
      <c r="D10" s="116" t="s">
        <v>108</v>
      </c>
      <c r="E10" s="126" t="s">
        <v>109</v>
      </c>
    </row>
    <row r="11" spans="2:5" ht="136" x14ac:dyDescent="0.2">
      <c r="B11" s="117" t="s">
        <v>110</v>
      </c>
      <c r="C11" s="118" t="s">
        <v>38</v>
      </c>
      <c r="D11" s="117" t="s">
        <v>111</v>
      </c>
      <c r="E11" s="119" t="s">
        <v>112</v>
      </c>
    </row>
  </sheetData>
  <hyperlinks>
    <hyperlink ref="D3" r:id="rId1" location="/site/daikincomfort/views/DAIKINONETHERMOSTATSDOCSSELLIN/ThermostatSalesSummary?:iid=1" xr:uid="{5DFD5B93-87F8-4C9F-ACBA-98BBA87969A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OnBase Coding</vt:lpstr>
      <vt:lpstr>FY25 Total</vt:lpstr>
      <vt:lpstr>FY25_PB</vt:lpstr>
      <vt:lpstr>FY25</vt:lpstr>
      <vt:lpstr>FY24</vt:lpstr>
      <vt:lpstr>FY23</vt:lpstr>
      <vt:lpstr>FY22</vt:lpstr>
      <vt:lpstr>License Growth Graphed</vt:lpstr>
      <vt:lpstr>AWS Cost Graphed</vt:lpstr>
      <vt:lpstr>Data Explanation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Ganesan, Vish</cp:lastModifiedBy>
  <cp:revision/>
  <dcterms:created xsi:type="dcterms:W3CDTF">2022-05-02T17:27:49Z</dcterms:created>
  <dcterms:modified xsi:type="dcterms:W3CDTF">2026-04-30T21:10:53Z</dcterms:modified>
  <cp:category/>
  <cp:contentStatus/>
</cp:coreProperties>
</file>