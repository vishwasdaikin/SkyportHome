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vishwas/Documents/DevelopmentProjects/Skyport-Web/"/>
    </mc:Choice>
  </mc:AlternateContent>
  <xr:revisionPtr revIDLastSave="0" documentId="13_ncr:1_{68A991CD-BD5B-CD41-A13D-7CB9ABE7FAD8}" xr6:coauthVersionLast="47" xr6:coauthVersionMax="47" xr10:uidLastSave="{00000000-0000-0000-0000-000000000000}"/>
  <bookViews>
    <workbookView xWindow="180" yWindow="760" windowWidth="30060" windowHeight="17760" activeTab="4" xr2:uid="{00000000-000D-0000-FFFF-FFFF00000000}"/>
  </bookViews>
  <sheets>
    <sheet name="Old - Do Not Use" sheetId="7" r:id="rId1"/>
    <sheet name="Definitions" sheetId="3" r:id="rId2"/>
    <sheet name="Assumptions" sheetId="4" r:id="rId3"/>
    <sheet name="Future Model Growth" sheetId="2" r:id="rId4"/>
    <sheet name="Current Model Growth" sheetId="5" r:id="rId5"/>
    <sheet name="Sheet1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5" l="1"/>
  <c r="F19" i="5"/>
  <c r="F20" i="5" s="1"/>
  <c r="E19" i="5"/>
  <c r="E20" i="5" s="1"/>
  <c r="D19" i="5"/>
  <c r="D20" i="5" s="1"/>
  <c r="C19" i="5"/>
  <c r="C20" i="5" s="1"/>
  <c r="G18" i="5"/>
  <c r="F18" i="5"/>
  <c r="E18" i="5"/>
  <c r="D18" i="5"/>
  <c r="C18" i="5"/>
  <c r="G24" i="5"/>
  <c r="F24" i="5"/>
  <c r="E24" i="5"/>
  <c r="D24" i="5"/>
  <c r="C24" i="5"/>
  <c r="B25" i="5"/>
  <c r="B29" i="5"/>
  <c r="B32" i="5"/>
  <c r="B31" i="5"/>
  <c r="B30" i="5"/>
  <c r="G37" i="5"/>
  <c r="F37" i="5"/>
  <c r="E37" i="5"/>
  <c r="D37" i="5"/>
  <c r="C37" i="5"/>
  <c r="B21" i="5"/>
  <c r="D48" i="7"/>
  <c r="C48" i="7"/>
  <c r="C40" i="7"/>
  <c r="D39" i="7"/>
  <c r="D40" i="7" s="1"/>
  <c r="G32" i="7"/>
  <c r="F32" i="7"/>
  <c r="E32" i="7"/>
  <c r="D32" i="7"/>
  <c r="C32" i="7"/>
  <c r="B27" i="7"/>
  <c r="G24" i="7"/>
  <c r="F24" i="7"/>
  <c r="F23" i="7" s="1"/>
  <c r="E24" i="7"/>
  <c r="E23" i="7" s="1"/>
  <c r="D24" i="7"/>
  <c r="D23" i="7" s="1"/>
  <c r="C24" i="7"/>
  <c r="G23" i="7"/>
  <c r="B22" i="7"/>
  <c r="B21" i="7"/>
  <c r="C17" i="7"/>
  <c r="C25" i="7" s="1"/>
  <c r="G16" i="7"/>
  <c r="F16" i="7"/>
  <c r="E16" i="7"/>
  <c r="D16" i="7"/>
  <c r="C16" i="7"/>
  <c r="B13" i="7"/>
  <c r="B10" i="7"/>
  <c r="B9" i="7"/>
  <c r="G8" i="7"/>
  <c r="F8" i="7"/>
  <c r="E8" i="7"/>
  <c r="D8" i="7"/>
  <c r="C8" i="7"/>
  <c r="C10" i="7" s="1"/>
  <c r="D10" i="7" s="1"/>
  <c r="E10" i="7" s="1"/>
  <c r="F10" i="7" s="1"/>
  <c r="G10" i="7" s="1"/>
  <c r="C7" i="7"/>
  <c r="D7" i="7" s="1"/>
  <c r="E7" i="7" s="1"/>
  <c r="F7" i="7" s="1"/>
  <c r="G7" i="7" s="1"/>
  <c r="C7" i="5"/>
  <c r="D7" i="5" s="1"/>
  <c r="E7" i="5" s="1"/>
  <c r="F7" i="5" s="1"/>
  <c r="G7" i="5" s="1"/>
  <c r="D8" i="5"/>
  <c r="D17" i="5" s="1"/>
  <c r="E8" i="5"/>
  <c r="E17" i="5" s="1"/>
  <c r="F8" i="5"/>
  <c r="F17" i="5" s="1"/>
  <c r="G8" i="5"/>
  <c r="G17" i="5" s="1"/>
  <c r="C8" i="5"/>
  <c r="C10" i="5" s="1"/>
  <c r="C11" i="5" s="1"/>
  <c r="G20" i="5" l="1"/>
  <c r="C17" i="5"/>
  <c r="C21" i="5" s="1"/>
  <c r="D21" i="5" s="1"/>
  <c r="E21" i="5" s="1"/>
  <c r="F21" i="5" s="1"/>
  <c r="G21" i="5" s="1"/>
  <c r="D10" i="5"/>
  <c r="B9" i="5"/>
  <c r="C33" i="7"/>
  <c r="C26" i="7"/>
  <c r="C34" i="7" s="1"/>
  <c r="C35" i="7" s="1"/>
  <c r="C49" i="7" s="1"/>
  <c r="D17" i="7"/>
  <c r="E39" i="7"/>
  <c r="E10" i="5" l="1"/>
  <c r="D11" i="5"/>
  <c r="E40" i="7"/>
  <c r="F39" i="7"/>
  <c r="D25" i="7"/>
  <c r="D26" i="7"/>
  <c r="D34" i="7" s="1"/>
  <c r="E17" i="7"/>
  <c r="C27" i="7"/>
  <c r="R8" i="6"/>
  <c r="Q8" i="6"/>
  <c r="P8" i="6"/>
  <c r="R7" i="6"/>
  <c r="Q7" i="6"/>
  <c r="P7" i="6"/>
  <c r="O8" i="6"/>
  <c r="N8" i="6"/>
  <c r="M8" i="6"/>
  <c r="O7" i="6"/>
  <c r="N7" i="6"/>
  <c r="M7" i="6"/>
  <c r="O6" i="6"/>
  <c r="N6" i="6"/>
  <c r="M6" i="6"/>
  <c r="O5" i="6"/>
  <c r="N5" i="6"/>
  <c r="M5" i="6"/>
  <c r="O4" i="6"/>
  <c r="N4" i="6"/>
  <c r="M4" i="6"/>
  <c r="C15" i="4"/>
  <c r="C25" i="4"/>
  <c r="C24" i="4"/>
  <c r="C22" i="4"/>
  <c r="F10" i="5" l="1"/>
  <c r="E11" i="5"/>
  <c r="E25" i="7"/>
  <c r="E26" i="7"/>
  <c r="E34" i="7" s="1"/>
  <c r="F17" i="7"/>
  <c r="E44" i="7"/>
  <c r="E45" i="7" s="1"/>
  <c r="E48" i="7" s="1"/>
  <c r="D33" i="7"/>
  <c r="D35" i="7" s="1"/>
  <c r="D49" i="7" s="1"/>
  <c r="D27" i="7"/>
  <c r="F40" i="7"/>
  <c r="G39" i="7"/>
  <c r="G40" i="7" s="1"/>
  <c r="J10" i="4"/>
  <c r="I10" i="4"/>
  <c r="C45" i="5"/>
  <c r="D44" i="5"/>
  <c r="E44" i="5" s="1"/>
  <c r="D53" i="5"/>
  <c r="C53" i="5"/>
  <c r="C26" i="5"/>
  <c r="C44" i="4"/>
  <c r="C42" i="4"/>
  <c r="C41" i="4"/>
  <c r="C38" i="4"/>
  <c r="C39" i="4" s="1"/>
  <c r="D42" i="2"/>
  <c r="C42" i="2"/>
  <c r="C29" i="4"/>
  <c r="C37" i="4" s="1"/>
  <c r="C20" i="4"/>
  <c r="C2" i="4"/>
  <c r="C4" i="4" s="1"/>
  <c r="C8" i="4" s="1"/>
  <c r="C10" i="4" s="1"/>
  <c r="C12" i="4" s="1"/>
  <c r="B19" i="2"/>
  <c r="B18" i="2"/>
  <c r="G10" i="5" l="1"/>
  <c r="G11" i="5" s="1"/>
  <c r="F11" i="5"/>
  <c r="C27" i="5"/>
  <c r="C28" i="5"/>
  <c r="C39" i="5" s="1"/>
  <c r="F25" i="7"/>
  <c r="F26" i="7"/>
  <c r="F34" i="7" s="1"/>
  <c r="G17" i="7"/>
  <c r="F44" i="7"/>
  <c r="E33" i="7"/>
  <c r="E35" i="7" s="1"/>
  <c r="E49" i="7" s="1"/>
  <c r="E27" i="7"/>
  <c r="D45" i="5"/>
  <c r="F44" i="5"/>
  <c r="E45" i="5"/>
  <c r="C38" i="5"/>
  <c r="D26" i="5"/>
  <c r="C40" i="4"/>
  <c r="C43" i="4" s="1"/>
  <c r="C28" i="4"/>
  <c r="C36" i="4" s="1"/>
  <c r="C26" i="4"/>
  <c r="C17" i="4"/>
  <c r="C21" i="4" s="1"/>
  <c r="C13" i="4"/>
  <c r="C16" i="4"/>
  <c r="D21" i="2"/>
  <c r="D32" i="2" s="1"/>
  <c r="E21" i="2"/>
  <c r="E32" i="2" s="1"/>
  <c r="F21" i="2"/>
  <c r="F32" i="2" s="1"/>
  <c r="G21" i="2"/>
  <c r="G32" i="2" s="1"/>
  <c r="C21" i="2"/>
  <c r="C32" i="2" s="1"/>
  <c r="G31" i="2"/>
  <c r="F31" i="2"/>
  <c r="E31" i="2"/>
  <c r="D31" i="2"/>
  <c r="C31" i="2"/>
  <c r="B9" i="2"/>
  <c r="C12" i="2"/>
  <c r="C13" i="2" s="1"/>
  <c r="D12" i="2"/>
  <c r="E12" i="2"/>
  <c r="F12" i="2"/>
  <c r="G12" i="2"/>
  <c r="C29" i="5" l="1"/>
  <c r="D27" i="5"/>
  <c r="D28" i="5"/>
  <c r="F46" i="7"/>
  <c r="F45" i="7"/>
  <c r="F48" i="7" s="1"/>
  <c r="G26" i="7"/>
  <c r="G34" i="7" s="1"/>
  <c r="G25" i="7"/>
  <c r="G44" i="7"/>
  <c r="F27" i="7"/>
  <c r="F33" i="7"/>
  <c r="F35" i="7" s="1"/>
  <c r="F49" i="7" s="1"/>
  <c r="C40" i="5"/>
  <c r="C54" i="5" s="1"/>
  <c r="G44" i="5"/>
  <c r="G45" i="5" s="1"/>
  <c r="F45" i="5"/>
  <c r="D39" i="5"/>
  <c r="E26" i="5"/>
  <c r="C45" i="4"/>
  <c r="C27" i="4"/>
  <c r="C22" i="2"/>
  <c r="C33" i="2" s="1"/>
  <c r="C23" i="2"/>
  <c r="C34" i="2" s="1"/>
  <c r="C24" i="2"/>
  <c r="D13" i="2"/>
  <c r="D22" i="2" s="1"/>
  <c r="D29" i="5" l="1"/>
  <c r="E49" i="5"/>
  <c r="E50" i="5" s="1"/>
  <c r="E53" i="5" s="1"/>
  <c r="E27" i="5"/>
  <c r="E28" i="5"/>
  <c r="E39" i="5" s="1"/>
  <c r="G47" i="7"/>
  <c r="G45" i="7"/>
  <c r="G46" i="7"/>
  <c r="G33" i="7"/>
  <c r="G35" i="7" s="1"/>
  <c r="G27" i="7"/>
  <c r="D38" i="5"/>
  <c r="D40" i="5" s="1"/>
  <c r="D54" i="5" s="1"/>
  <c r="F26" i="5"/>
  <c r="C35" i="2"/>
  <c r="C43" i="2" s="1"/>
  <c r="D23" i="2"/>
  <c r="D33" i="2" s="1"/>
  <c r="D24" i="2"/>
  <c r="D34" i="2" s="1"/>
  <c r="E13" i="2"/>
  <c r="E29" i="5" l="1"/>
  <c r="F27" i="5"/>
  <c r="F28" i="5"/>
  <c r="F39" i="5" s="1"/>
  <c r="G48" i="7"/>
  <c r="G49" i="7" s="1"/>
  <c r="E38" i="5"/>
  <c r="E40" i="5" s="1"/>
  <c r="E54" i="5" s="1"/>
  <c r="G26" i="5"/>
  <c r="F49" i="5"/>
  <c r="E22" i="2"/>
  <c r="E38" i="2"/>
  <c r="E39" i="2" s="1"/>
  <c r="E42" i="2" s="1"/>
  <c r="D35" i="2"/>
  <c r="D43" i="2" s="1"/>
  <c r="E23" i="2"/>
  <c r="E33" i="2" s="1"/>
  <c r="E24" i="2"/>
  <c r="E34" i="2" s="1"/>
  <c r="F13" i="2"/>
  <c r="F29" i="5" l="1"/>
  <c r="G28" i="5"/>
  <c r="G39" i="5" s="1"/>
  <c r="G27" i="5"/>
  <c r="F38" i="5"/>
  <c r="F40" i="5" s="1"/>
  <c r="F51" i="5"/>
  <c r="F50" i="5"/>
  <c r="G49" i="5"/>
  <c r="F22" i="2"/>
  <c r="F38" i="2"/>
  <c r="E35" i="2"/>
  <c r="E43" i="2" s="1"/>
  <c r="F23" i="2"/>
  <c r="F33" i="2" s="1"/>
  <c r="F24" i="2"/>
  <c r="F34" i="2" s="1"/>
  <c r="G13" i="2"/>
  <c r="G29" i="5" l="1"/>
  <c r="F53" i="5"/>
  <c r="F54" i="5" s="1"/>
  <c r="G38" i="5"/>
  <c r="G40" i="5" s="1"/>
  <c r="G52" i="5"/>
  <c r="G51" i="5"/>
  <c r="G50" i="5"/>
  <c r="F40" i="2"/>
  <c r="F39" i="2"/>
  <c r="G22" i="2"/>
  <c r="G38" i="2"/>
  <c r="G41" i="2" s="1"/>
  <c r="F35" i="2"/>
  <c r="G24" i="2"/>
  <c r="G34" i="2" s="1"/>
  <c r="G23" i="2"/>
  <c r="G33" i="2" s="1"/>
  <c r="F42" i="2" l="1"/>
  <c r="G53" i="5"/>
  <c r="G54" i="5" s="1"/>
  <c r="F43" i="2"/>
  <c r="G40" i="2"/>
  <c r="G39" i="2"/>
  <c r="G42" i="2" s="1"/>
  <c r="G35" i="2"/>
  <c r="G4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tc={1FA3A3CA-A8AA-5644-8CA9-5ABE7DD8C0D5}</author>
    <author>tc={37B7154E-B4C2-B24B-883A-1A47DA28CDF0}</author>
  </authors>
  <commentList>
    <comment ref="B17" authorId="0" shapeId="0" xr:uid="{1FA3A3CA-A8AA-5644-8CA9-5ABE7DD8C0D5}">
      <text>
        <t>[Threaded comment]
Your version of Excel allows you to read this threaded comment; however, any edits to it will get removed if the file is opened in a newer version of Excel. Learn more: https://go.microsoft.com/fwlink/?linkid=870924
Comment:
    Today there is no data to measure homeowner accounts. This is best guess calculated based on connected thermostats and account for the fact that 7% of connected thermostats are more than one thermostat tied to the same home address.</t>
      </text>
    </comment>
    <comment ref="A24" authorId="1" shapeId="0" xr:uid="{37B7154E-B4C2-B24B-883A-1A47DA28CDF0}">
      <text>
        <t>[Threaded comment]
Your version of Excel allows you to read this threaded comment; however, any edits to it will get removed if the file is opened in a newer version of Excel. Learn more: https://go.microsoft.com/fwlink/?linkid=870924
Comment:
    Annual licenses that is included w/thermostat purchase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tc={9588581B-66C8-4941-A5C8-2BBD661CC5D2}</author>
    <author>tc={723E68F1-591E-FD4A-8CA3-23C491E63E3B}</author>
  </authors>
  <commentList>
    <comment ref="B21" authorId="0" shapeId="0" xr:uid="{9588581B-66C8-4941-A5C8-2BBD661CC5D2}">
      <text>
        <t>[Threaded comment]
Your version of Excel allows you to read this threaded comment; however, any edits to it will get removed if the file is opened in a newer version of Excel. Learn more: https://go.microsoft.com/fwlink/?linkid=870924
Comment:
    Today there is no data to measure homeowner accounts. This is best guess calculated based on connected thermostats and account for the fact that 7% of connected thermostats are more than one thermostat tied to the same home address.</t>
      </text>
    </comment>
    <comment ref="A37" authorId="1" shapeId="0" xr:uid="{723E68F1-591E-FD4A-8CA3-23C491E63E3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based on FIT sales given we recognize revenue independent of license being activated.</t>
      </text>
    </comment>
  </commentList>
</comments>
</file>

<file path=xl/sharedStrings.xml><?xml version="1.0" encoding="utf-8"?>
<sst xmlns="http://schemas.openxmlformats.org/spreadsheetml/2006/main" count="291" uniqueCount="190">
  <si>
    <t>Till Date</t>
  </si>
  <si>
    <t>FY26</t>
  </si>
  <si>
    <t>FY27</t>
  </si>
  <si>
    <t>FY28</t>
  </si>
  <si>
    <t>FY29</t>
  </si>
  <si>
    <t>FY30</t>
  </si>
  <si>
    <t>User &amp; Subscription Growth</t>
  </si>
  <si>
    <t>Total FIT Volume</t>
  </si>
  <si>
    <t>RA Volume</t>
  </si>
  <si>
    <t>Altherma Volume</t>
  </si>
  <si>
    <t>Thermostats (all brands)</t>
  </si>
  <si>
    <t>SkyportHome</t>
  </si>
  <si>
    <t>Users (%)</t>
  </si>
  <si>
    <t>FIT</t>
  </si>
  <si>
    <t>RA</t>
  </si>
  <si>
    <t>Altherma</t>
  </si>
  <si>
    <t>Users only for the FY</t>
  </si>
  <si>
    <t>Total Users</t>
  </si>
  <si>
    <t>SkyportCare</t>
  </si>
  <si>
    <t>Subscribers (%)</t>
  </si>
  <si>
    <t>Annual Included (attachment)</t>
  </si>
  <si>
    <t>Monthly</t>
  </si>
  <si>
    <t>Annual</t>
  </si>
  <si>
    <t>Lifetime</t>
  </si>
  <si>
    <t>Subscribers</t>
  </si>
  <si>
    <t>Revenue</t>
  </si>
  <si>
    <t>#1 SkyportCare License Revenue</t>
  </si>
  <si>
    <t>Monthly License Fee ($8/month)</t>
  </si>
  <si>
    <t>Annual License Fee</t>
  </si>
  <si>
    <t>Lifetime License Fee</t>
  </si>
  <si>
    <t>Annual Included (attachment) ($)</t>
  </si>
  <si>
    <t>Monthly ($)</t>
  </si>
  <si>
    <t>Annual ($)</t>
  </si>
  <si>
    <t>Lifetime ($)</t>
  </si>
  <si>
    <t>Total ($)</t>
  </si>
  <si>
    <t>Total Revenue ($)</t>
  </si>
  <si>
    <t>TOU</t>
  </si>
  <si>
    <t>VPP</t>
  </si>
  <si>
    <t>HEMS</t>
  </si>
  <si>
    <t>Phase</t>
  </si>
  <si>
    <t>Package</t>
  </si>
  <si>
    <t>Conserve</t>
  </si>
  <si>
    <t>Offset</t>
  </si>
  <si>
    <t>Smart</t>
  </si>
  <si>
    <t>Complete</t>
  </si>
  <si>
    <t>Definition</t>
  </si>
  <si>
    <t>Technology</t>
  </si>
  <si>
    <t>HVAC</t>
  </si>
  <si>
    <t>HVAC, Solar, Storage, MSP, Appliances, EV charger &amp; more</t>
  </si>
  <si>
    <t>HVAC share of electricity (40% - 60%)</t>
  </si>
  <si>
    <t>Annual electricity cost from HVAC</t>
  </si>
  <si>
    <t>Avg. electricity bill (monthly)</t>
  </si>
  <si>
    <t>Avg. electricity bill (yearly)</t>
  </si>
  <si>
    <t>Homeowner Savings Components</t>
  </si>
  <si>
    <t>HVAC used as a grid asset and utilities pay for capacity, performance, etc.</t>
  </si>
  <si>
    <t>HO: TOU % energy savings (15% - 25%)</t>
  </si>
  <si>
    <t>HO: TOU $ energy savings</t>
  </si>
  <si>
    <t>HO: Utility DR Incentives ($10/month average)</t>
  </si>
  <si>
    <t>HO: Annual savings</t>
  </si>
  <si>
    <t>HO: Net Annual Savings</t>
  </si>
  <si>
    <t>HO: Annual savings (Phase 1)</t>
  </si>
  <si>
    <t>HO: Total Annual Savings (Phase 1 &amp; 2)</t>
  </si>
  <si>
    <t>Minimize energy load during peak ToU periods, pre-cool and Pre‑heat home &amp; participation in setpoint nudges, etc.</t>
  </si>
  <si>
    <t>Whole-home DR and VPP</t>
  </si>
  <si>
    <t>HO: VPP participation payment %</t>
  </si>
  <si>
    <t>HO: VPP participation payment $</t>
  </si>
  <si>
    <t>Fees for Aggregator and Daikin</t>
  </si>
  <si>
    <t>VPP Daikin Revenue</t>
  </si>
  <si>
    <t>HVAC: TOU Savings</t>
  </si>
  <si>
    <t>EV Charging: TOU Savings</t>
  </si>
  <si>
    <t>HP Water Heater: TOU Savings</t>
  </si>
  <si>
    <t>Total HO TOU Savings</t>
  </si>
  <si>
    <t>VPP Payment</t>
  </si>
  <si>
    <t>HVAC: VPP Payment</t>
  </si>
  <si>
    <t>EV Charging: VPP Payment</t>
  </si>
  <si>
    <t>HP Water Heater: VPP Payment</t>
  </si>
  <si>
    <t>Total HO VPP Payment</t>
  </si>
  <si>
    <t>Solar + Battery   TOU Savings</t>
  </si>
  <si>
    <t>Solar + Battery: VPP Payment</t>
  </si>
  <si>
    <t>TOU Aggregator fee $ (like Leap)</t>
  </si>
  <si>
    <t>TOU Daikin Revenue</t>
  </si>
  <si>
    <t>VPP Aggregator fee % (like Leap)</t>
  </si>
  <si>
    <t>TOU Aggregator fee % (like Leap)</t>
  </si>
  <si>
    <t>VPP Aggregator fee $ (like Leap)</t>
  </si>
  <si>
    <t>Daikin Revenue (TOU + VPP)</t>
  </si>
  <si>
    <t>Year</t>
  </si>
  <si>
    <t>Assumptions</t>
  </si>
  <si>
    <t>#2 SkyportEnergy Revenue</t>
  </si>
  <si>
    <t>Homeowners enrolled</t>
  </si>
  <si>
    <t>Homeowners enrollment %</t>
  </si>
  <si>
    <t>TOU Revenue ($)</t>
  </si>
  <si>
    <t>VPP Revenue ($)</t>
  </si>
  <si>
    <t>Complete ($)</t>
  </si>
  <si>
    <t>Total HO TOU Savings except HVAC</t>
  </si>
  <si>
    <t>TOU Fee $ for guarenteed savings</t>
  </si>
  <si>
    <t>TOU Fee % for guarenteed savings:  20% - 40%</t>
  </si>
  <si>
    <t>Total HO VPP Payment except HVAC</t>
  </si>
  <si>
    <t>TOU Daikin Revenue except HVAC</t>
  </si>
  <si>
    <t>VPP Daikin Revenue except HVAC</t>
  </si>
  <si>
    <t>Daikin Revenue (TOU + VPP) except HVAC</t>
  </si>
  <si>
    <t>#3 SkyportEnergy Revenue</t>
  </si>
  <si>
    <t>#2 SkyportCare Enterprise License Revenue</t>
  </si>
  <si>
    <t>Per unit annual License Fee</t>
  </si>
  <si>
    <t>No. of Enterprise Customers</t>
  </si>
  <si>
    <t>No. of Units per Enterprise Customer</t>
  </si>
  <si>
    <t>Building Owner</t>
  </si>
  <si>
    <t>Facilities Manager</t>
  </si>
  <si>
    <t>Property Management</t>
  </si>
  <si>
    <t>Rep/Contractor</t>
  </si>
  <si>
    <t>Multi-fly/multi-tenant</t>
  </si>
  <si>
    <t>Office</t>
  </si>
  <si>
    <t>School</t>
  </si>
  <si>
    <t>Target Application</t>
  </si>
  <si>
    <t>User Type</t>
  </si>
  <si>
    <t>Builder</t>
  </si>
  <si>
    <t>C&amp;I</t>
  </si>
  <si>
    <t>Apt/Condo</t>
  </si>
  <si>
    <t>Enterprise Segment</t>
  </si>
  <si>
    <t># of relationships</t>
  </si>
  <si>
    <t>Avg. no. of units/site</t>
  </si>
  <si>
    <t>Category</t>
  </si>
  <si>
    <t>Item</t>
  </si>
  <si>
    <t>Detail</t>
  </si>
  <si>
    <t>Dev Cost</t>
  </si>
  <si>
    <t>Impact</t>
  </si>
  <si>
    <t>DR (with SCE and EPRI)</t>
  </si>
  <si>
    <t>Evaluate DR impact &amp; revenue potential</t>
  </si>
  <si>
    <t>Investigation, Field Test</t>
  </si>
  <si>
    <t>$180,000 </t>
  </si>
  <si>
    <t>VPP (Leap integration)</t>
  </si>
  <si>
    <t>Evaluate VPP impact &amp; revenue potential</t>
  </si>
  <si>
    <t>$210,000 </t>
  </si>
  <si>
    <t>Time Of Use</t>
  </si>
  <si>
    <t>Integration to MIDAS TOU Signal (CA ONLY)</t>
  </si>
  <si>
    <t>$130,000 </t>
  </si>
  <si>
    <t>SkyportCare (Cloud Services)</t>
  </si>
  <si>
    <t>Release 6</t>
  </si>
  <si>
    <t>Remote Charge Validation, Simplified QI, Winter Install, Remote reboot, Multi Language</t>
  </si>
  <si>
    <t>$620,000 </t>
  </si>
  <si>
    <t>Increase in Licenses</t>
  </si>
  <si>
    <t>Enterprise</t>
  </si>
  <si>
    <t>Support Multi Unit Site Licensing and Access Hierarchy</t>
  </si>
  <si>
    <t>$230,000 </t>
  </si>
  <si>
    <t>Incremental Revenue</t>
  </si>
  <si>
    <t>Yr1</t>
  </si>
  <si>
    <t>Yr2</t>
  </si>
  <si>
    <t>Yr3</t>
  </si>
  <si>
    <t>Participation Revenue</t>
  </si>
  <si>
    <t>Participation Revenue (TBD)</t>
  </si>
  <si>
    <t>Incremental Margin</t>
  </si>
  <si>
    <t>User Scope</t>
  </si>
  <si>
    <t>Scope</t>
  </si>
  <si>
    <t>Upgrade</t>
  </si>
  <si>
    <t>Per User (Cost)</t>
  </si>
  <si>
    <t>Participants / New Licenses</t>
  </si>
  <si>
    <t>Per User ()</t>
  </si>
  <si>
    <t>Active License Penetration</t>
  </si>
  <si>
    <t>Annual Active Licenses</t>
  </si>
  <si>
    <t>Lifetime Active Licenses</t>
  </si>
  <si>
    <t>Bundled Active Licenses</t>
  </si>
  <si>
    <t>0%</t>
  </si>
  <si>
    <t>Total Connected Thermostats</t>
  </si>
  <si>
    <t xml:space="preserve">FY Connected Thermostats </t>
  </si>
  <si>
    <t>% of FY Connected Thermostats</t>
  </si>
  <si>
    <t>Total Thermostats (all brands)</t>
  </si>
  <si>
    <t>FY Thermostats (all brands)</t>
  </si>
  <si>
    <t>Inception to FY25</t>
  </si>
  <si>
    <t>1-Year Active Licenses</t>
  </si>
  <si>
    <t>1-Year Active Licenses ($)</t>
  </si>
  <si>
    <t>Lifetime Active Licenses ($)</t>
  </si>
  <si>
    <t>Bundled Licenses ($)</t>
  </si>
  <si>
    <t>Paid Annual License Penetration</t>
  </si>
  <si>
    <t>Paid Lifetime License Penetration</t>
  </si>
  <si>
    <t>Active Licenses</t>
  </si>
  <si>
    <t>Dealer Participation</t>
  </si>
  <si>
    <t>1978</t>
  </si>
  <si>
    <t>Dealer Participation (%)</t>
  </si>
  <si>
    <t>Total Dealers</t>
  </si>
  <si>
    <t>18123</t>
  </si>
  <si>
    <t>DENEB Wi-Fi to SkyportHome Direct</t>
  </si>
  <si>
    <t>Total FIT Thermostats (all brands)</t>
  </si>
  <si>
    <t>FY FIT Thermostats (all brands)</t>
  </si>
  <si>
    <t xml:space="preserve">FY FIT Connected Thermostats </t>
  </si>
  <si>
    <t>% of FY FIT Connected Thermostats</t>
  </si>
  <si>
    <t>Total FIT Connected Thermostats</t>
  </si>
  <si>
    <t>FIT Users only for the FY</t>
  </si>
  <si>
    <t>RA Users</t>
  </si>
  <si>
    <t>Altherma Users</t>
  </si>
  <si>
    <t>% of Total FY FIT Connected Thermostats</t>
  </si>
  <si>
    <t>FY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</si>
</sst>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%"/>
    <numFmt numFmtId="166" formatCode="_(* #,##0_);_(* \(#,##0\);_(* &quot;-&quot;??_);_(@_)"/>
  </numFmts>
  <fonts count="13" x14ac:knownFonts="1">
    <font>
      <sz val="12"/>
      <color indexed="8"/>
      <name val="Arial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rgb="FF0070C0"/>
      <name val="Arial"/>
      <family val="2"/>
    </font>
    <font>
      <sz val="12"/>
      <color indexed="8"/>
      <name val="Arial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6ED2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/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ill="0" applyBorder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123">
    <xf numFmtId="0" fontId="0" fillId="0" borderId="0" xfId="0"/>
    <xf numFmtId="0" fontId="0" fillId="0" borderId="0" xfId="0" applyNumberFormat="1"/>
    <xf numFmtId="0" fontId="0" fillId="0" borderId="1" xfId="0" applyNumberFormat="1" applyBorder="1"/>
    <xf numFmtId="0" fontId="0" fillId="0" borderId="2" xfId="0" applyNumberFormat="1" applyBorder="1"/>
    <xf numFmtId="0" fontId="2" fillId="0" borderId="2" xfId="0" applyNumberFormat="1" applyFont="1" applyBorder="1"/>
    <xf numFmtId="0" fontId="0" fillId="0" borderId="3" xfId="0" applyNumberFormat="1" applyBorder="1"/>
    <xf numFmtId="1" fontId="2" fillId="0" borderId="3" xfId="0" applyNumberFormat="1" applyFont="1" applyBorder="1"/>
    <xf numFmtId="0" fontId="0" fillId="0" borderId="4" xfId="0" applyNumberFormat="1" applyBorder="1"/>
    <xf numFmtId="0" fontId="7" fillId="4" borderId="5" xfId="0" applyFont="1" applyFill="1" applyBorder="1" applyAlignment="1">
      <alignment horizontal="center"/>
    </xf>
    <xf numFmtId="49" fontId="1" fillId="0" borderId="5" xfId="0" applyNumberFormat="1" applyFont="1" applyFill="1" applyBorder="1"/>
    <xf numFmtId="3" fontId="2" fillId="0" borderId="5" xfId="0" applyNumberFormat="1" applyFont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0" fontId="0" fillId="0" borderId="5" xfId="0" applyNumberFormat="1" applyBorder="1"/>
    <xf numFmtId="49" fontId="2" fillId="2" borderId="5" xfId="0" applyNumberFormat="1" applyFont="1" applyFill="1" applyBorder="1" applyAlignment="1">
      <alignment horizontal="right"/>
    </xf>
    <xf numFmtId="9" fontId="2" fillId="3" borderId="5" xfId="2" applyFont="1" applyFill="1" applyBorder="1" applyAlignment="1">
      <alignment horizontal="center"/>
    </xf>
    <xf numFmtId="9" fontId="2" fillId="2" borderId="5" xfId="2" applyFont="1" applyFill="1" applyBorder="1" applyAlignment="1">
      <alignment horizontal="center"/>
    </xf>
    <xf numFmtId="166" fontId="2" fillId="2" borderId="5" xfId="1" applyNumberFormat="1" applyFont="1" applyFill="1" applyBorder="1" applyAlignment="1">
      <alignment horizontal="center"/>
    </xf>
    <xf numFmtId="49" fontId="1" fillId="0" borderId="5" xfId="0" applyNumberFormat="1" applyFont="1" applyFill="1" applyBorder="1" applyAlignment="1">
      <alignment horizontal="center"/>
    </xf>
    <xf numFmtId="166" fontId="1" fillId="0" borderId="5" xfId="1" applyNumberFormat="1" applyFont="1" applyFill="1" applyBorder="1" applyAlignment="1">
      <alignment horizontal="center"/>
    </xf>
    <xf numFmtId="49" fontId="4" fillId="2" borderId="5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66" fontId="6" fillId="3" borderId="5" xfId="1" applyNumberFormat="1" applyFont="1" applyFill="1" applyBorder="1" applyAlignment="1">
      <alignment horizontal="center"/>
    </xf>
    <xf numFmtId="49" fontId="9" fillId="2" borderId="5" xfId="0" applyNumberFormat="1" applyFont="1" applyFill="1" applyBorder="1" applyAlignment="1">
      <alignment horizontal="left"/>
    </xf>
    <xf numFmtId="49" fontId="8" fillId="2" borderId="5" xfId="0" applyNumberFormat="1" applyFont="1" applyFill="1" applyBorder="1" applyAlignment="1">
      <alignment horizontal="right"/>
    </xf>
    <xf numFmtId="0" fontId="0" fillId="0" borderId="5" xfId="0" applyNumberFormat="1" applyBorder="1" applyAlignment="1">
      <alignment horizontal="center"/>
    </xf>
    <xf numFmtId="6" fontId="2" fillId="0" borderId="5" xfId="0" applyNumberFormat="1" applyFont="1" applyBorder="1"/>
    <xf numFmtId="0" fontId="2" fillId="0" borderId="5" xfId="0" applyNumberFormat="1" applyFont="1" applyBorder="1" applyAlignment="1">
      <alignment horizontal="right"/>
    </xf>
    <xf numFmtId="0" fontId="2" fillId="0" borderId="2" xfId="0" applyNumberFormat="1" applyFont="1" applyBorder="1" applyAlignment="1">
      <alignment horizontal="center"/>
    </xf>
    <xf numFmtId="6" fontId="2" fillId="3" borderId="5" xfId="0" applyNumberFormat="1" applyFont="1" applyFill="1" applyBorder="1"/>
    <xf numFmtId="0" fontId="2" fillId="0" borderId="5" xfId="0" applyNumberFormat="1" applyFont="1" applyBorder="1" applyAlignment="1">
      <alignment horizontal="center"/>
    </xf>
    <xf numFmtId="0" fontId="2" fillId="0" borderId="5" xfId="0" applyNumberFormat="1" applyFont="1" applyBorder="1"/>
    <xf numFmtId="0" fontId="3" fillId="0" borderId="5" xfId="0" applyNumberFormat="1" applyFont="1" applyBorder="1"/>
    <xf numFmtId="49" fontId="2" fillId="2" borderId="6" xfId="0" applyNumberFormat="1" applyFont="1" applyFill="1" applyBorder="1" applyAlignment="1">
      <alignment horizontal="right"/>
    </xf>
    <xf numFmtId="3" fontId="2" fillId="0" borderId="6" xfId="0" applyNumberFormat="1" applyFont="1" applyBorder="1" applyAlignment="1">
      <alignment horizontal="center"/>
    </xf>
    <xf numFmtId="0" fontId="3" fillId="6" borderId="5" xfId="0" applyNumberFormat="1" applyFont="1" applyFill="1" applyBorder="1" applyAlignment="1">
      <alignment horizontal="right"/>
    </xf>
    <xf numFmtId="0" fontId="3" fillId="6" borderId="5" xfId="0" applyNumberFormat="1" applyFont="1" applyFill="1" applyBorder="1" applyAlignment="1">
      <alignment horizontal="center"/>
    </xf>
    <xf numFmtId="6" fontId="3" fillId="6" borderId="5" xfId="0" applyNumberFormat="1" applyFont="1" applyFill="1" applyBorder="1"/>
    <xf numFmtId="165" fontId="2" fillId="2" borderId="5" xfId="2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5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left"/>
    </xf>
    <xf numFmtId="0" fontId="5" fillId="0" borderId="5" xfId="0" applyFont="1" applyFill="1" applyBorder="1" applyAlignment="1">
      <alignment horizontal="left"/>
    </xf>
    <xf numFmtId="9" fontId="0" fillId="0" borderId="9" xfId="0" applyNumberFormat="1" applyBorder="1" applyAlignment="1">
      <alignment horizontal="center"/>
    </xf>
    <xf numFmtId="6" fontId="0" fillId="0" borderId="9" xfId="0" applyNumberFormat="1" applyBorder="1" applyAlignment="1">
      <alignment horizontal="center"/>
    </xf>
    <xf numFmtId="6" fontId="0" fillId="0" borderId="9" xfId="0" applyNumberFormat="1" applyFill="1" applyBorder="1" applyAlignment="1">
      <alignment horizontal="center"/>
    </xf>
    <xf numFmtId="8" fontId="0" fillId="0" borderId="9" xfId="0" applyNumberFormat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166" fontId="2" fillId="0" borderId="5" xfId="1" applyNumberFormat="1" applyFont="1" applyBorder="1" applyAlignment="1">
      <alignment horizontal="center"/>
    </xf>
    <xf numFmtId="164" fontId="2" fillId="0" borderId="5" xfId="3" applyNumberFormat="1" applyFont="1" applyBorder="1"/>
    <xf numFmtId="0" fontId="2" fillId="3" borderId="5" xfId="0" applyNumberFormat="1" applyFont="1" applyFill="1" applyBorder="1"/>
    <xf numFmtId="165" fontId="2" fillId="3" borderId="5" xfId="0" applyNumberFormat="1" applyFont="1" applyFill="1" applyBorder="1" applyAlignment="1">
      <alignment horizontal="center"/>
    </xf>
    <xf numFmtId="0" fontId="11" fillId="8" borderId="5" xfId="0" applyFont="1" applyFill="1" applyBorder="1" applyAlignment="1">
      <alignment horizontal="left"/>
    </xf>
    <xf numFmtId="6" fontId="11" fillId="8" borderId="9" xfId="0" applyNumberFormat="1" applyFont="1" applyFill="1" applyBorder="1" applyAlignment="1">
      <alignment horizontal="center"/>
    </xf>
    <xf numFmtId="0" fontId="11" fillId="8" borderId="8" xfId="0" applyFont="1" applyFill="1" applyBorder="1" applyAlignment="1">
      <alignment horizontal="left"/>
    </xf>
    <xf numFmtId="6" fontId="11" fillId="8" borderId="7" xfId="0" applyNumberFormat="1" applyFont="1" applyFill="1" applyBorder="1" applyAlignment="1">
      <alignment horizontal="center"/>
    </xf>
    <xf numFmtId="6" fontId="0" fillId="0" borderId="5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6" fontId="11" fillId="0" borderId="9" xfId="0" applyNumberFormat="1" applyFont="1" applyBorder="1" applyAlignment="1">
      <alignment horizontal="center"/>
    </xf>
    <xf numFmtId="0" fontId="11" fillId="0" borderId="5" xfId="0" applyFont="1" applyFill="1" applyBorder="1" applyAlignment="1">
      <alignment horizontal="left"/>
    </xf>
    <xf numFmtId="0" fontId="3" fillId="0" borderId="5" xfId="0" applyNumberFormat="1" applyFont="1" applyBorder="1" applyAlignment="1">
      <alignment horizontal="left"/>
    </xf>
    <xf numFmtId="1" fontId="2" fillId="3" borderId="5" xfId="0" applyNumberFormat="1" applyFont="1" applyFill="1" applyBorder="1"/>
    <xf numFmtId="1" fontId="2" fillId="0" borderId="5" xfId="0" applyNumberFormat="1" applyFont="1" applyBorder="1"/>
    <xf numFmtId="0" fontId="5" fillId="0" borderId="0" xfId="0" applyFont="1"/>
    <xf numFmtId="0" fontId="0" fillId="0" borderId="5" xfId="0" applyBorder="1" applyAlignment="1">
      <alignment horizontal="center"/>
    </xf>
    <xf numFmtId="0" fontId="5" fillId="0" borderId="0" xfId="0" applyFont="1" applyAlignment="1">
      <alignment wrapText="1"/>
    </xf>
    <xf numFmtId="0" fontId="0" fillId="0" borderId="0" xfId="0" applyAlignment="1">
      <alignment vertical="center"/>
    </xf>
    <xf numFmtId="0" fontId="5" fillId="9" borderId="5" xfId="0" applyFont="1" applyFill="1" applyBorder="1" applyAlignment="1">
      <alignment vertical="center"/>
    </xf>
    <xf numFmtId="0" fontId="5" fillId="9" borderId="5" xfId="0" applyFont="1" applyFill="1" applyBorder="1" applyAlignment="1">
      <alignment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6" fontId="0" fillId="0" borderId="5" xfId="0" applyNumberFormat="1" applyBorder="1" applyAlignment="1">
      <alignment horizontal="center" vertical="center"/>
    </xf>
    <xf numFmtId="0" fontId="0" fillId="3" borderId="5" xfId="0" applyFill="1" applyBorder="1"/>
    <xf numFmtId="6" fontId="0" fillId="0" borderId="5" xfId="2" applyNumberFormat="1" applyFont="1" applyBorder="1" applyAlignment="1">
      <alignment horizontal="center" vertical="center"/>
    </xf>
    <xf numFmtId="6" fontId="5" fillId="0" borderId="5" xfId="0" applyNumberFormat="1" applyFont="1" applyBorder="1" applyAlignment="1">
      <alignment horizontal="center" vertical="center" wrapText="1"/>
    </xf>
    <xf numFmtId="6" fontId="2" fillId="10" borderId="5" xfId="0" applyNumberFormat="1" applyFont="1" applyFill="1" applyBorder="1"/>
    <xf numFmtId="3" fontId="2" fillId="10" borderId="5" xfId="0" applyNumberFormat="1" applyFont="1" applyFill="1" applyBorder="1" applyAlignment="1">
      <alignment horizontal="center"/>
    </xf>
    <xf numFmtId="9" fontId="2" fillId="0" borderId="6" xfId="2" applyFont="1" applyBorder="1" applyAlignment="1">
      <alignment horizontal="center"/>
    </xf>
    <xf numFmtId="165" fontId="2" fillId="0" borderId="6" xfId="2" applyNumberFormat="1" applyFont="1" applyBorder="1" applyAlignment="1">
      <alignment horizontal="center"/>
    </xf>
    <xf numFmtId="9" fontId="1" fillId="0" borderId="5" xfId="2" applyFont="1" applyFill="1" applyBorder="1" applyAlignment="1">
      <alignment horizontal="center"/>
    </xf>
    <xf numFmtId="1" fontId="2" fillId="2" borderId="5" xfId="1" applyNumberFormat="1" applyFont="1" applyFill="1" applyBorder="1" applyAlignment="1">
      <alignment horizontal="center"/>
    </xf>
    <xf numFmtId="9" fontId="6" fillId="3" borderId="5" xfId="2" applyFont="1" applyFill="1" applyBorder="1" applyAlignment="1">
      <alignment horizontal="center"/>
    </xf>
    <xf numFmtId="166" fontId="1" fillId="0" borderId="5" xfId="2" applyNumberFormat="1" applyFont="1" applyFill="1" applyBorder="1" applyAlignment="1">
      <alignment horizontal="center"/>
    </xf>
    <xf numFmtId="166" fontId="6" fillId="0" borderId="5" xfId="2" applyNumberFormat="1" applyFont="1" applyFill="1" applyBorder="1" applyAlignment="1">
      <alignment horizontal="center"/>
    </xf>
    <xf numFmtId="166" fontId="6" fillId="0" borderId="5" xfId="1" applyNumberFormat="1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 wrapText="1"/>
    </xf>
    <xf numFmtId="165" fontId="2" fillId="0" borderId="5" xfId="2" applyNumberFormat="1" applyFont="1" applyBorder="1" applyAlignment="1">
      <alignment horizontal="center"/>
    </xf>
    <xf numFmtId="6" fontId="2" fillId="0" borderId="5" xfId="0" applyNumberFormat="1" applyFont="1" applyFill="1" applyBorder="1"/>
    <xf numFmtId="3" fontId="2" fillId="0" borderId="5" xfId="0" applyNumberFormat="1" applyFont="1" applyFill="1" applyBorder="1" applyAlignment="1">
      <alignment horizontal="center"/>
    </xf>
    <xf numFmtId="1" fontId="2" fillId="0" borderId="2" xfId="0" applyNumberFormat="1" applyFont="1" applyBorder="1"/>
    <xf numFmtId="2" fontId="8" fillId="2" borderId="2" xfId="0" applyNumberFormat="1" applyFont="1" applyFill="1" applyBorder="1" applyAlignment="1">
      <alignment horizontal="center"/>
    </xf>
    <xf numFmtId="9" fontId="8" fillId="2" borderId="5" xfId="2" applyFont="1" applyFill="1" applyBorder="1" applyAlignment="1">
      <alignment horizontal="center"/>
    </xf>
    <xf numFmtId="9" fontId="8" fillId="3" borderId="5" xfId="2" applyFont="1" applyFill="1" applyBorder="1" applyAlignment="1">
      <alignment horizontal="center"/>
    </xf>
    <xf numFmtId="2" fontId="8" fillId="2" borderId="5" xfId="0" applyNumberFormat="1" applyFont="1" applyFill="1" applyBorder="1" applyAlignment="1">
      <alignment horizontal="center"/>
    </xf>
    <xf numFmtId="3" fontId="0" fillId="0" borderId="2" xfId="0" applyNumberFormat="1" applyBorder="1"/>
    <xf numFmtId="0" fontId="1" fillId="3" borderId="5" xfId="0" applyFont="1" applyFill="1" applyBorder="1"/>
    <xf numFmtId="9" fontId="6" fillId="0" borderId="5" xfId="2" applyFont="1" applyFill="1" applyBorder="1" applyAlignment="1">
      <alignment horizontal="center"/>
    </xf>
    <xf numFmtId="0" fontId="10" fillId="5" borderId="6" xfId="0" applyNumberFormat="1" applyFont="1" applyFill="1" applyBorder="1" applyAlignment="1">
      <alignment horizontal="center" wrapText="1"/>
    </xf>
    <xf numFmtId="0" fontId="11" fillId="5" borderId="6" xfId="0" applyNumberFormat="1" applyFont="1" applyFill="1" applyBorder="1" applyAlignment="1">
      <alignment horizontal="center" wrapText="1"/>
    </xf>
    <xf numFmtId="0" fontId="11" fillId="8" borderId="9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1" fillId="7" borderId="5" xfId="0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9" borderId="5" xfId="0" applyFon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0000000"/>
      <rgbColor rgb="FFFFD53F"/>
      <rgbColor rgb="FFAAAAAA"/>
      <rgbColor rgb="FFD8D8D8"/>
      <rgbColor rgb="FFCFE2F3"/>
      <rgbColor rgb="FFFFFF00"/>
      <rgbColor rgb="FF0000FF"/>
      <rgbColor rgb="FFD9D2E9"/>
      <rgbColor rgb="FFFFF2CC"/>
      <rgbColor rgb="FFD9EAD3"/>
      <rgbColor rgb="FFFF0000"/>
      <rgbColor rgb="FF313131"/>
      <rgbColor rgb="FF666666"/>
      <rgbColor rgb="FFFFFFFF"/>
      <rgbColor rgb="FFB7B7B7"/>
      <rgbColor rgb="FFF3F3F3"/>
      <rgbColor rgb="FFA4C2F4"/>
      <rgbColor rgb="FF434343"/>
      <rgbColor rgb="FFF4CCCC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nesan, Vish" id="{D1C010A3-D33C-9A41-AAF9-155A22D2FB24}" userId="S::GANESVX@daikincomfort.com::7c74552c-8e6f-49d0-82ec-0ea160036b60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6-03-24T16:40:26.71" personId="{D1C010A3-D33C-9A41-AAF9-155A22D2FB24}" id="{1FA3A3CA-A8AA-5644-8CA9-5ABE7DD8C0D5}">
    <text>Today there is no data to measure homeowner accounts. This is best guess calculated based on connected thermostats and account for the fact that 7% of connected thermostats are more than one thermostat tied to the same home address.</text>
  </threadedComment>
  <threadedComment ref="A24" dT="2026-03-24T16:46:15.45" personId="{D1C010A3-D33C-9A41-AAF9-155A22D2FB24}" id="{37B7154E-B4C2-B24B-883A-1A47DA28CDF0}">
    <text>Annual licenses that is included w/thermostat purchase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1" dT="2026-03-24T16:40:26.71" personId="{D1C010A3-D33C-9A41-AAF9-155A22D2FB24}" id="{9588581B-66C8-4941-A5C8-2BBD661CC5D2}">
    <text>Today there is no data to measure homeowner accounts. This is best guess calculated based on connected thermostats and account for the fact that 7% of connected thermostats are more than one thermostat tied to the same home address.</text>
  </threadedComment>
  <threadedComment ref="A37" dT="2026-03-25T01:55:18.68" personId="{D1C010A3-D33C-9A41-AAF9-155A22D2FB24}" id="{723E68F1-591E-FD4A-8CA3-23C491E63E3B}">
    <text>This is based on FIT sales given we recognize revenue independent of license being activated.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3399-C236-0E44-B141-DCAD89006C37}">
  <dimension ref="A1:AE55"/>
  <sheetViews>
    <sheetView defaultGridColor="0" colorId="9" zoomScale="120" zoomScaleNormal="120" workbookViewId="0">
      <pane ySplit="1" topLeftCell="A2" activePane="bottomLeft" state="frozen"/>
      <selection pane="bottomLeft" activeCell="B56" sqref="B56"/>
    </sheetView>
  </sheetViews>
  <sheetFormatPr baseColWidth="10" defaultColWidth="10.140625" defaultRowHeight="15" customHeight="1" x14ac:dyDescent="0.2"/>
  <cols>
    <col min="1" max="1" width="36.5703125" style="2" customWidth="1"/>
    <col min="2" max="2" width="18.7109375" style="21" customWidth="1"/>
    <col min="3" max="3" width="11.42578125" style="2" customWidth="1"/>
    <col min="4" max="9" width="11.7109375" style="2" customWidth="1"/>
    <col min="10" max="10" width="16.140625" style="2" customWidth="1"/>
    <col min="11" max="13" width="13.85546875" style="2" customWidth="1"/>
    <col min="14" max="14" width="5.140625" style="2" customWidth="1"/>
    <col min="15" max="15" width="11.7109375" style="2" customWidth="1"/>
    <col min="16" max="30" width="9.5703125" style="2" customWidth="1"/>
    <col min="31" max="31" width="10.140625" style="1" customWidth="1"/>
    <col min="32" max="16384" width="10.140625" style="1"/>
  </cols>
  <sheetData>
    <row r="1" spans="1:31" s="3" customFormat="1" ht="18" customHeight="1" x14ac:dyDescent="0.2">
      <c r="A1" s="8"/>
      <c r="B1" s="94" t="s">
        <v>166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31" s="3" customFormat="1" ht="15" customHeight="1" x14ac:dyDescent="0.2">
      <c r="A2" s="106" t="s">
        <v>6</v>
      </c>
      <c r="B2" s="107"/>
      <c r="C2" s="107"/>
      <c r="D2" s="107"/>
      <c r="E2" s="107"/>
      <c r="F2" s="107"/>
      <c r="G2" s="107"/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31" s="3" customFormat="1" ht="15" customHeight="1" x14ac:dyDescent="0.2">
      <c r="A3" s="9" t="s">
        <v>7</v>
      </c>
      <c r="B3" s="17"/>
      <c r="C3" s="22">
        <v>240000</v>
      </c>
      <c r="D3" s="22">
        <v>350000</v>
      </c>
      <c r="E3" s="22">
        <v>500000</v>
      </c>
      <c r="F3" s="22">
        <v>600000</v>
      </c>
      <c r="G3" s="22">
        <v>700000</v>
      </c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31" s="3" customFormat="1" ht="15" customHeight="1" x14ac:dyDescent="0.2">
      <c r="A4" s="9" t="s">
        <v>8</v>
      </c>
      <c r="B4" s="17"/>
      <c r="C4" s="22"/>
      <c r="D4" s="22"/>
      <c r="E4" s="22"/>
      <c r="F4" s="22"/>
      <c r="G4" s="22"/>
      <c r="H4" s="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31" s="3" customFormat="1" ht="15" customHeight="1" x14ac:dyDescent="0.2">
      <c r="A5" s="9" t="s">
        <v>9</v>
      </c>
      <c r="B5" s="17"/>
      <c r="C5" s="22"/>
      <c r="D5" s="22"/>
      <c r="E5" s="22"/>
      <c r="F5" s="22"/>
      <c r="G5" s="22"/>
      <c r="H5" s="7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31" s="3" customFormat="1" ht="15" customHeight="1" x14ac:dyDescent="0.2">
      <c r="A6" s="9" t="s">
        <v>165</v>
      </c>
      <c r="B6" s="18">
        <v>610064</v>
      </c>
      <c r="C6" s="22">
        <v>240000</v>
      </c>
      <c r="D6" s="22">
        <v>350000</v>
      </c>
      <c r="E6" s="22">
        <v>500000</v>
      </c>
      <c r="F6" s="22">
        <v>600000</v>
      </c>
      <c r="G6" s="22">
        <v>700000</v>
      </c>
      <c r="H6" s="7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31" s="3" customFormat="1" ht="15" customHeight="1" x14ac:dyDescent="0.2">
      <c r="A7" s="9" t="s">
        <v>164</v>
      </c>
      <c r="B7" s="18">
        <v>610064</v>
      </c>
      <c r="C7" s="93">
        <f>B7+C6</f>
        <v>850064</v>
      </c>
      <c r="D7" s="93">
        <f t="shared" ref="D7:G7" si="0">C7+D6</f>
        <v>1200064</v>
      </c>
      <c r="E7" s="93">
        <f t="shared" si="0"/>
        <v>1700064</v>
      </c>
      <c r="F7" s="93">
        <f t="shared" si="0"/>
        <v>2300064</v>
      </c>
      <c r="G7" s="93">
        <f t="shared" si="0"/>
        <v>3000064</v>
      </c>
      <c r="H7" s="7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31" s="3" customFormat="1" ht="15" customHeight="1" x14ac:dyDescent="0.2">
      <c r="A8" s="9" t="s">
        <v>162</v>
      </c>
      <c r="B8" s="18">
        <v>341000</v>
      </c>
      <c r="C8" s="93">
        <f>C9*C6</f>
        <v>144000</v>
      </c>
      <c r="D8" s="93">
        <f t="shared" ref="D8:G8" si="1">D9*D6</f>
        <v>227500</v>
      </c>
      <c r="E8" s="93">
        <f t="shared" si="1"/>
        <v>350000</v>
      </c>
      <c r="F8" s="93">
        <f t="shared" si="1"/>
        <v>450000</v>
      </c>
      <c r="G8" s="93">
        <f t="shared" si="1"/>
        <v>560000</v>
      </c>
      <c r="H8" s="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31" s="3" customFormat="1" ht="15" customHeight="1" x14ac:dyDescent="0.2">
      <c r="A9" s="9" t="s">
        <v>163</v>
      </c>
      <c r="B9" s="88">
        <f>B10/B7</f>
        <v>0.55895774869521886</v>
      </c>
      <c r="C9" s="90">
        <v>0.6</v>
      </c>
      <c r="D9" s="90">
        <v>0.65</v>
      </c>
      <c r="E9" s="90">
        <v>0.7</v>
      </c>
      <c r="F9" s="90">
        <v>0.75</v>
      </c>
      <c r="G9" s="90">
        <v>0.8</v>
      </c>
      <c r="H9" s="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31" s="3" customFormat="1" ht="15" customHeight="1" x14ac:dyDescent="0.2">
      <c r="A10" s="9" t="s">
        <v>161</v>
      </c>
      <c r="B10" s="91">
        <f>B8</f>
        <v>341000</v>
      </c>
      <c r="C10" s="92">
        <f>B10+C8</f>
        <v>485000</v>
      </c>
      <c r="D10" s="92">
        <f t="shared" ref="D10:G10" si="2">C10+D8</f>
        <v>712500</v>
      </c>
      <c r="E10" s="92">
        <f t="shared" si="2"/>
        <v>1062500</v>
      </c>
      <c r="F10" s="92">
        <f t="shared" si="2"/>
        <v>1512500</v>
      </c>
      <c r="G10" s="92">
        <f t="shared" si="2"/>
        <v>2072500</v>
      </c>
      <c r="H10" s="7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31" s="2" customFormat="1" ht="15" customHeight="1" x14ac:dyDescent="0.2">
      <c r="A11" s="23" t="s">
        <v>11</v>
      </c>
      <c r="B11" s="19"/>
      <c r="C11" s="10"/>
      <c r="D11" s="10"/>
      <c r="E11" s="10"/>
      <c r="F11" s="10"/>
      <c r="G11" s="10"/>
      <c r="H11" s="7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3"/>
      <c r="AA11" s="3"/>
      <c r="AB11" s="3"/>
      <c r="AC11" s="3"/>
      <c r="AD11" s="3"/>
      <c r="AE11" s="3"/>
    </row>
    <row r="12" spans="1:31" s="3" customFormat="1" ht="15" customHeight="1" x14ac:dyDescent="0.2">
      <c r="A12" s="11" t="s">
        <v>12</v>
      </c>
      <c r="B12" s="11"/>
      <c r="C12" s="12"/>
      <c r="D12" s="12"/>
      <c r="E12" s="12"/>
      <c r="F12" s="12"/>
      <c r="G12" s="12"/>
      <c r="H12" s="7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31" s="3" customFormat="1" ht="15" customHeight="1" x14ac:dyDescent="0.2">
      <c r="A13" s="13" t="s">
        <v>13</v>
      </c>
      <c r="B13" s="15">
        <f>B17/B6</f>
        <v>0.49175168506910749</v>
      </c>
      <c r="C13" s="14">
        <v>0.6</v>
      </c>
      <c r="D13" s="14">
        <v>0.65</v>
      </c>
      <c r="E13" s="14">
        <v>0.7</v>
      </c>
      <c r="F13" s="14">
        <v>0.75</v>
      </c>
      <c r="G13" s="14">
        <v>0.8</v>
      </c>
      <c r="H13" s="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31" s="3" customFormat="1" ht="15" customHeight="1" x14ac:dyDescent="0.2">
      <c r="A14" s="13" t="s">
        <v>14</v>
      </c>
      <c r="B14" s="11"/>
      <c r="C14" s="14">
        <v>0.05</v>
      </c>
      <c r="D14" s="14">
        <v>0.1</v>
      </c>
      <c r="E14" s="14">
        <v>0.2</v>
      </c>
      <c r="F14" s="14">
        <v>0.3</v>
      </c>
      <c r="G14" s="14">
        <v>0.4</v>
      </c>
      <c r="H14" s="7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31" s="3" customFormat="1" ht="15" customHeight="1" x14ac:dyDescent="0.2">
      <c r="A15" s="13" t="s">
        <v>15</v>
      </c>
      <c r="B15" s="11" t="s">
        <v>160</v>
      </c>
      <c r="C15" s="14">
        <v>0.05</v>
      </c>
      <c r="D15" s="14">
        <v>0.1</v>
      </c>
      <c r="E15" s="14">
        <v>0.2</v>
      </c>
      <c r="F15" s="14">
        <v>0.3</v>
      </c>
      <c r="G15" s="14">
        <v>0.4</v>
      </c>
      <c r="H15" s="7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31" s="3" customFormat="1" ht="15" customHeight="1" x14ac:dyDescent="0.2">
      <c r="A16" s="11" t="s">
        <v>16</v>
      </c>
      <c r="B16" s="16"/>
      <c r="C16" s="10">
        <f>C13*C3+C14*C4+C15*C5</f>
        <v>144000</v>
      </c>
      <c r="D16" s="10">
        <f>D13*D3+D14*D4+D15*D5</f>
        <v>227500</v>
      </c>
      <c r="E16" s="10">
        <f>E13*E3+E14*E4+E15*E5</f>
        <v>350000</v>
      </c>
      <c r="F16" s="10">
        <f>F13*F3+F14*F4+F15*F5</f>
        <v>450000</v>
      </c>
      <c r="G16" s="10">
        <f>G13*G3+G14*G4+G15*G5</f>
        <v>560000</v>
      </c>
      <c r="H16" s="7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31" s="3" customFormat="1" ht="15" customHeight="1" x14ac:dyDescent="0.2">
      <c r="A17" s="11" t="s">
        <v>17</v>
      </c>
      <c r="B17" s="89">
        <v>300000</v>
      </c>
      <c r="C17" s="85">
        <f>B17+C16</f>
        <v>444000</v>
      </c>
      <c r="D17" s="10">
        <f t="shared" ref="D17:G17" si="3">C17+D16</f>
        <v>671500</v>
      </c>
      <c r="E17" s="10">
        <f t="shared" si="3"/>
        <v>1021500</v>
      </c>
      <c r="F17" s="10">
        <f t="shared" si="3"/>
        <v>1471500</v>
      </c>
      <c r="G17" s="10">
        <f t="shared" si="3"/>
        <v>2031500</v>
      </c>
      <c r="H17" s="7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31" s="3" customFormat="1" ht="15" customHeight="1" x14ac:dyDescent="0.2">
      <c r="A18" s="23" t="s">
        <v>18</v>
      </c>
      <c r="B18" s="20"/>
      <c r="C18" s="6"/>
      <c r="D18" s="6"/>
      <c r="E18" s="6"/>
      <c r="F18" s="6"/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31" ht="15" customHeight="1" x14ac:dyDescent="0.2">
      <c r="A19" s="11" t="s">
        <v>19</v>
      </c>
      <c r="B19" s="11"/>
      <c r="C19" s="12"/>
      <c r="D19" s="12"/>
      <c r="E19" s="12"/>
      <c r="F19" s="12"/>
      <c r="G19" s="1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1" s="2" customFormat="1" ht="15" customHeight="1" x14ac:dyDescent="0.2">
      <c r="A20" s="13" t="s">
        <v>20</v>
      </c>
      <c r="B20" s="15"/>
      <c r="C20" s="14">
        <v>1</v>
      </c>
      <c r="D20" s="14">
        <v>1</v>
      </c>
      <c r="E20" s="14">
        <v>1</v>
      </c>
      <c r="F20" s="14">
        <v>1</v>
      </c>
      <c r="G20" s="14">
        <v>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s="3" customFormat="1" ht="15" customHeight="1" x14ac:dyDescent="0.2">
      <c r="A21" s="13" t="s">
        <v>22</v>
      </c>
      <c r="B21" s="38">
        <f>B25/B17</f>
        <v>9.766666666666667E-4</v>
      </c>
      <c r="C21" s="14">
        <v>0.03</v>
      </c>
      <c r="D21" s="14">
        <v>0.04</v>
      </c>
      <c r="E21" s="14">
        <v>0.06</v>
      </c>
      <c r="F21" s="14">
        <v>0.08</v>
      </c>
      <c r="G21" s="14">
        <v>0.12</v>
      </c>
    </row>
    <row r="22" spans="1:31" s="2" customFormat="1" ht="15" customHeight="1" x14ac:dyDescent="0.2">
      <c r="A22" s="13" t="s">
        <v>23</v>
      </c>
      <c r="B22" s="38">
        <f>B26/B17</f>
        <v>6.1133333333333335E-3</v>
      </c>
      <c r="C22" s="14">
        <v>0.03</v>
      </c>
      <c r="D22" s="14">
        <v>0.08</v>
      </c>
      <c r="E22" s="14">
        <v>0.1</v>
      </c>
      <c r="F22" s="14">
        <v>0.12</v>
      </c>
      <c r="G22" s="14">
        <v>0.16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s="2" customFormat="1" ht="15" customHeight="1" x14ac:dyDescent="0.2">
      <c r="A23" s="11" t="s">
        <v>24</v>
      </c>
      <c r="B23" s="10"/>
      <c r="C23" s="10"/>
      <c r="D23" s="10">
        <f>D24-C24</f>
        <v>110000</v>
      </c>
      <c r="E23" s="10">
        <f>E24-D24</f>
        <v>150000</v>
      </c>
      <c r="F23" s="10">
        <f>F24-E24</f>
        <v>100000</v>
      </c>
      <c r="G23" s="10">
        <f>G24-F24</f>
        <v>100000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s="3" customFormat="1" ht="15" customHeight="1" x14ac:dyDescent="0.2">
      <c r="A24" s="13" t="s">
        <v>159</v>
      </c>
      <c r="B24" s="10">
        <v>9545</v>
      </c>
      <c r="C24" s="10">
        <f>C20*C6</f>
        <v>240000</v>
      </c>
      <c r="D24" s="10">
        <f>D20*D6</f>
        <v>350000</v>
      </c>
      <c r="E24" s="10">
        <f>E20*E6</f>
        <v>500000</v>
      </c>
      <c r="F24" s="10">
        <f>F20*F6</f>
        <v>600000</v>
      </c>
      <c r="G24" s="10">
        <f>G20*G6</f>
        <v>700000</v>
      </c>
    </row>
    <row r="25" spans="1:31" s="3" customFormat="1" ht="15" customHeight="1" x14ac:dyDescent="0.2">
      <c r="A25" s="13" t="s">
        <v>157</v>
      </c>
      <c r="B25" s="10">
        <v>293</v>
      </c>
      <c r="C25" s="10">
        <f>C21*(C17-C16)</f>
        <v>9000</v>
      </c>
      <c r="D25" s="10">
        <f>D21*(D17-D16)</f>
        <v>17760</v>
      </c>
      <c r="E25" s="10">
        <f>E21*(E17-E16)</f>
        <v>40290</v>
      </c>
      <c r="F25" s="10">
        <f>F21*(F17-F16)</f>
        <v>81720</v>
      </c>
      <c r="G25" s="10">
        <f>G21*(G17-G16)</f>
        <v>176580</v>
      </c>
    </row>
    <row r="26" spans="1:31" s="3" customFormat="1" ht="15" customHeight="1" x14ac:dyDescent="0.2">
      <c r="A26" s="13" t="s">
        <v>158</v>
      </c>
      <c r="B26" s="10">
        <v>1834</v>
      </c>
      <c r="C26" s="10">
        <f>C22*(C17-C16)</f>
        <v>9000</v>
      </c>
      <c r="D26" s="10">
        <f>D22*(D17-D16)</f>
        <v>35520</v>
      </c>
      <c r="E26" s="10">
        <f>E22*(E17-E16)</f>
        <v>67150</v>
      </c>
      <c r="F26" s="10">
        <f>F22*(F17-F16)</f>
        <v>122580</v>
      </c>
      <c r="G26" s="10">
        <f>G22*(G17-G16)</f>
        <v>235440</v>
      </c>
    </row>
    <row r="27" spans="1:31" s="3" customFormat="1" ht="15" customHeight="1" x14ac:dyDescent="0.2">
      <c r="A27" s="33" t="s">
        <v>156</v>
      </c>
      <c r="B27" s="87">
        <f>(B25+B26)/B17</f>
        <v>7.0899999999999999E-3</v>
      </c>
      <c r="C27" s="86">
        <f>(C25+C26)/C16</f>
        <v>0.125</v>
      </c>
      <c r="D27" s="86">
        <f t="shared" ref="D27:G27" si="4">(D25+D26)/D16</f>
        <v>0.2341978021978022</v>
      </c>
      <c r="E27" s="86">
        <f t="shared" si="4"/>
        <v>0.30697142857142856</v>
      </c>
      <c r="F27" s="86">
        <f t="shared" si="4"/>
        <v>0.45400000000000001</v>
      </c>
      <c r="G27" s="86">
        <f t="shared" si="4"/>
        <v>0.73575000000000002</v>
      </c>
    </row>
    <row r="28" spans="1:31" ht="20" customHeight="1" x14ac:dyDescent="0.2">
      <c r="A28" s="106" t="s">
        <v>25</v>
      </c>
      <c r="B28" s="107"/>
      <c r="C28" s="107"/>
      <c r="D28" s="107"/>
      <c r="E28" s="107"/>
      <c r="F28" s="107"/>
      <c r="G28" s="10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1" ht="15" customHeight="1" x14ac:dyDescent="0.2">
      <c r="A29" s="23" t="s">
        <v>26</v>
      </c>
      <c r="B29" s="25"/>
      <c r="C29" s="12"/>
      <c r="D29" s="12"/>
      <c r="E29" s="12"/>
      <c r="F29" s="12"/>
      <c r="G29" s="1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1" ht="15" customHeight="1" x14ac:dyDescent="0.2">
      <c r="A30" s="24" t="s">
        <v>28</v>
      </c>
      <c r="B30" s="25"/>
      <c r="C30" s="29">
        <v>60</v>
      </c>
      <c r="D30" s="29">
        <v>60</v>
      </c>
      <c r="E30" s="29">
        <v>60</v>
      </c>
      <c r="F30" s="29">
        <v>60</v>
      </c>
      <c r="G30" s="29">
        <v>60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1" ht="15" customHeight="1" x14ac:dyDescent="0.2">
      <c r="A31" s="24" t="s">
        <v>29</v>
      </c>
      <c r="B31" s="25"/>
      <c r="C31" s="29">
        <v>400</v>
      </c>
      <c r="D31" s="29">
        <v>400</v>
      </c>
      <c r="E31" s="29">
        <v>400</v>
      </c>
      <c r="F31" s="29">
        <v>400</v>
      </c>
      <c r="G31" s="29">
        <v>400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1" ht="15" customHeight="1" x14ac:dyDescent="0.2">
      <c r="A32" s="13" t="s">
        <v>30</v>
      </c>
      <c r="B32" s="25"/>
      <c r="C32" s="84">
        <f>C20*C30*C6</f>
        <v>14400000</v>
      </c>
      <c r="D32" s="26">
        <f>D20*D30*D6</f>
        <v>21000000</v>
      </c>
      <c r="E32" s="26">
        <f>E20*E30*E6</f>
        <v>30000000</v>
      </c>
      <c r="F32" s="26">
        <f>F20*F30*F6</f>
        <v>36000000</v>
      </c>
      <c r="G32" s="26">
        <f>G20*G30*G6</f>
        <v>42000000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" customHeight="1" x14ac:dyDescent="0.2">
      <c r="A33" s="13" t="s">
        <v>32</v>
      </c>
      <c r="B33" s="25"/>
      <c r="C33" s="26">
        <f>C30*C25</f>
        <v>540000</v>
      </c>
      <c r="D33" s="26">
        <f t="shared" ref="D33:G34" si="5">D30*D25</f>
        <v>1065600</v>
      </c>
      <c r="E33" s="26">
        <f t="shared" si="5"/>
        <v>2417400</v>
      </c>
      <c r="F33" s="26">
        <f t="shared" si="5"/>
        <v>4903200</v>
      </c>
      <c r="G33" s="26">
        <f t="shared" si="5"/>
        <v>10594800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" customHeight="1" x14ac:dyDescent="0.2">
      <c r="A34" s="13" t="s">
        <v>33</v>
      </c>
      <c r="B34" s="25"/>
      <c r="C34" s="84">
        <f>C31*C26</f>
        <v>3600000</v>
      </c>
      <c r="D34" s="26">
        <f t="shared" si="5"/>
        <v>14208000</v>
      </c>
      <c r="E34" s="26">
        <f t="shared" si="5"/>
        <v>26860000</v>
      </c>
      <c r="F34" s="26">
        <f t="shared" si="5"/>
        <v>49032000</v>
      </c>
      <c r="G34" s="26">
        <f t="shared" si="5"/>
        <v>94176000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" customHeight="1" x14ac:dyDescent="0.2">
      <c r="A35" s="27" t="s">
        <v>34</v>
      </c>
      <c r="B35" s="25"/>
      <c r="C35" s="26">
        <f>SUM(C32:C34)</f>
        <v>18540000</v>
      </c>
      <c r="D35" s="26">
        <f>SUM(D32:D34)</f>
        <v>36273600</v>
      </c>
      <c r="E35" s="26">
        <f>SUM(E32:E34)</f>
        <v>59277400</v>
      </c>
      <c r="F35" s="26">
        <f>SUM(F32:F34)</f>
        <v>89935200</v>
      </c>
      <c r="G35" s="26">
        <f>SUM(G32:G34)</f>
        <v>146770800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" customHeight="1" x14ac:dyDescent="0.2">
      <c r="A36" s="67" t="s">
        <v>101</v>
      </c>
      <c r="B36" s="25"/>
      <c r="C36" s="26"/>
      <c r="D36" s="26"/>
      <c r="E36" s="26"/>
      <c r="F36" s="26"/>
      <c r="G36" s="2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" customHeight="1" x14ac:dyDescent="0.2">
      <c r="A37" s="24" t="s">
        <v>102</v>
      </c>
      <c r="B37" s="25"/>
      <c r="C37" s="29">
        <v>30</v>
      </c>
      <c r="D37" s="29">
        <v>30</v>
      </c>
      <c r="E37" s="29">
        <v>30</v>
      </c>
      <c r="F37" s="29">
        <v>30</v>
      </c>
      <c r="G37" s="29">
        <v>30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" customHeight="1" x14ac:dyDescent="0.2">
      <c r="A38" s="24" t="s">
        <v>104</v>
      </c>
      <c r="B38" s="25"/>
      <c r="C38" s="68">
        <v>50</v>
      </c>
      <c r="D38" s="68">
        <v>50</v>
      </c>
      <c r="E38" s="68">
        <v>50</v>
      </c>
      <c r="F38" s="68">
        <v>50</v>
      </c>
      <c r="G38" s="68">
        <v>50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" customHeight="1" x14ac:dyDescent="0.2">
      <c r="A39" s="24" t="s">
        <v>103</v>
      </c>
      <c r="B39" s="25"/>
      <c r="C39" s="69">
        <v>20</v>
      </c>
      <c r="D39" s="69">
        <f>C39*4</f>
        <v>80</v>
      </c>
      <c r="E39" s="69">
        <f t="shared" ref="E39:G39" si="6">D39*4</f>
        <v>320</v>
      </c>
      <c r="F39" s="69">
        <f t="shared" si="6"/>
        <v>1280</v>
      </c>
      <c r="G39" s="69">
        <f t="shared" si="6"/>
        <v>5120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" customHeight="1" x14ac:dyDescent="0.2">
      <c r="A40" s="24" t="s">
        <v>34</v>
      </c>
      <c r="B40" s="25"/>
      <c r="C40" s="26">
        <f>C39*C38*C37</f>
        <v>30000</v>
      </c>
      <c r="D40" s="26">
        <f t="shared" ref="D40:G40" si="7">D39*D38*D37</f>
        <v>120000</v>
      </c>
      <c r="E40" s="26">
        <f t="shared" si="7"/>
        <v>480000</v>
      </c>
      <c r="F40" s="26">
        <f t="shared" si="7"/>
        <v>1920000</v>
      </c>
      <c r="G40" s="26">
        <f t="shared" si="7"/>
        <v>7680000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" customHeight="1" x14ac:dyDescent="0.2">
      <c r="A41" s="27"/>
      <c r="B41" s="25"/>
      <c r="C41" s="26"/>
      <c r="D41" s="26"/>
      <c r="E41" s="26"/>
      <c r="F41" s="26"/>
      <c r="G41" s="2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" customHeight="1" x14ac:dyDescent="0.2">
      <c r="A42" s="32" t="s">
        <v>100</v>
      </c>
      <c r="B42" s="30"/>
      <c r="C42" s="31"/>
      <c r="D42" s="31"/>
      <c r="E42" s="31"/>
      <c r="F42" s="31"/>
      <c r="G42" s="3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" customHeight="1" x14ac:dyDescent="0.2">
      <c r="A43" s="27" t="s">
        <v>89</v>
      </c>
      <c r="B43" s="30"/>
      <c r="C43" s="56"/>
      <c r="D43" s="56"/>
      <c r="E43" s="57">
        <v>0.01</v>
      </c>
      <c r="F43" s="57">
        <v>0.05</v>
      </c>
      <c r="G43" s="57">
        <v>0.1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" customHeight="1" x14ac:dyDescent="0.2">
      <c r="A44" s="27" t="s">
        <v>88</v>
      </c>
      <c r="B44" s="30"/>
      <c r="C44" s="31"/>
      <c r="D44" s="31"/>
      <c r="E44" s="54">
        <f>E43*E17</f>
        <v>10215</v>
      </c>
      <c r="F44" s="54">
        <f>F43*F17</f>
        <v>73575</v>
      </c>
      <c r="G44" s="54">
        <f>G43*G17</f>
        <v>203150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" customHeight="1" x14ac:dyDescent="0.2">
      <c r="A45" s="27" t="s">
        <v>90</v>
      </c>
      <c r="B45" s="30"/>
      <c r="C45" s="31"/>
      <c r="D45" s="31"/>
      <c r="E45" s="55">
        <f>E44*Assumptions!$C$16</f>
        <v>689512.5</v>
      </c>
      <c r="F45" s="55">
        <f>F44*Assumptions!$C$16</f>
        <v>4966312.5</v>
      </c>
      <c r="G45" s="55">
        <f>G44*Assumptions!$C$16</f>
        <v>13712625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" customHeight="1" x14ac:dyDescent="0.2">
      <c r="A46" s="27" t="s">
        <v>91</v>
      </c>
      <c r="B46" s="30"/>
      <c r="C46" s="31"/>
      <c r="D46" s="31"/>
      <c r="E46" s="55"/>
      <c r="F46" s="55">
        <f>F44*Assumptions!$C$26</f>
        <v>4414500</v>
      </c>
      <c r="G46" s="55">
        <f>G44*Assumptions!$C$26</f>
        <v>12189000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" customHeight="1" x14ac:dyDescent="0.2">
      <c r="A47" s="27" t="s">
        <v>92</v>
      </c>
      <c r="B47" s="30"/>
      <c r="C47" s="31"/>
      <c r="D47" s="31"/>
      <c r="E47" s="55"/>
      <c r="F47" s="55"/>
      <c r="G47" s="55">
        <f>G44*Assumptions!C45</f>
        <v>137329400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" customHeight="1" x14ac:dyDescent="0.2">
      <c r="A48" s="27" t="s">
        <v>34</v>
      </c>
      <c r="B48" s="30"/>
      <c r="C48" s="31">
        <f>SUM(C45:C47)</f>
        <v>0</v>
      </c>
      <c r="D48" s="55">
        <f t="shared" ref="D48:F48" si="8">SUM(D45:D47)</f>
        <v>0</v>
      </c>
      <c r="E48" s="55">
        <f t="shared" si="8"/>
        <v>689512.5</v>
      </c>
      <c r="F48" s="55">
        <f t="shared" si="8"/>
        <v>9380812.5</v>
      </c>
      <c r="G48" s="55">
        <f>SUM(G45:G47)</f>
        <v>163231025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" customHeight="1" x14ac:dyDescent="0.2">
      <c r="A49" s="35" t="s">
        <v>35</v>
      </c>
      <c r="B49" s="36"/>
      <c r="C49" s="37">
        <f>C35+C48+C40</f>
        <v>18570000</v>
      </c>
      <c r="D49" s="37">
        <f t="shared" ref="D49:G49" si="9">D35+D48+D40</f>
        <v>36393600</v>
      </c>
      <c r="E49" s="37">
        <f t="shared" si="9"/>
        <v>60446912.5</v>
      </c>
      <c r="F49" s="37">
        <f t="shared" si="9"/>
        <v>101236012.5</v>
      </c>
      <c r="G49" s="37">
        <f t="shared" si="9"/>
        <v>317681825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" customHeight="1" x14ac:dyDescent="0.2">
      <c r="A50" s="4"/>
      <c r="B50" s="28"/>
      <c r="C50" s="4"/>
      <c r="D50" s="4"/>
      <c r="E50" s="4"/>
      <c r="F50" s="4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" customHeight="1" x14ac:dyDescent="0.2">
      <c r="A51" s="4"/>
      <c r="B51" s="28"/>
      <c r="C51" s="4"/>
      <c r="D51" s="4"/>
      <c r="E51" s="4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" customHeight="1" x14ac:dyDescent="0.2">
      <c r="A52" s="4"/>
      <c r="B52" s="28"/>
      <c r="C52" s="4"/>
      <c r="D52" s="4"/>
      <c r="E52" s="4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" customHeight="1" x14ac:dyDescent="0.2">
      <c r="A53" s="4"/>
      <c r="B53" s="28"/>
      <c r="C53" s="4"/>
      <c r="D53" s="4"/>
      <c r="E53" s="4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" customHeight="1" x14ac:dyDescent="0.2">
      <c r="A54" s="4"/>
      <c r="B54" s="28"/>
      <c r="C54" s="4"/>
      <c r="D54" s="4"/>
      <c r="E54" s="4"/>
      <c r="F54" s="4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" customHeight="1" x14ac:dyDescent="0.2">
      <c r="A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</sheetData>
  <mergeCells count="2">
    <mergeCell ref="A2:G2"/>
    <mergeCell ref="A28:G28"/>
  </mergeCells>
  <pageMargins left="0.75" right="0.75" top="1" bottom="1" header="0" footer="0"/>
  <pageSetup orientation="portrait"/>
  <headerFooter>
    <oddFooter>&amp;C&amp;"Arial,Regular"&amp;12&amp;K000000000000&amp;P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1264-EBD7-904F-87CD-D1F6012A9811}">
  <dimension ref="A1:K5"/>
  <sheetViews>
    <sheetView zoomScale="150" zoomScaleNormal="150" workbookViewId="0">
      <selection activeCell="B25" sqref="B25"/>
    </sheetView>
  </sheetViews>
  <sheetFormatPr baseColWidth="10" defaultRowHeight="16" x14ac:dyDescent="0.2"/>
  <cols>
    <col min="1" max="1" width="6.5703125" customWidth="1"/>
    <col min="2" max="3" width="8.7109375" customWidth="1"/>
    <col min="4" max="4" width="25.85546875" style="42" customWidth="1"/>
    <col min="5" max="5" width="46.7109375" customWidth="1"/>
  </cols>
  <sheetData>
    <row r="1" spans="1:11" ht="17" x14ac:dyDescent="0.2">
      <c r="A1" s="44" t="s">
        <v>39</v>
      </c>
      <c r="B1" s="44" t="s">
        <v>38</v>
      </c>
      <c r="C1" s="44" t="s">
        <v>40</v>
      </c>
      <c r="D1" s="46" t="s">
        <v>46</v>
      </c>
      <c r="E1" s="44" t="s">
        <v>45</v>
      </c>
      <c r="F1" s="39"/>
      <c r="G1" s="39"/>
      <c r="H1" s="39"/>
      <c r="I1" s="40"/>
      <c r="J1" s="40"/>
      <c r="K1" s="40"/>
    </row>
    <row r="2" spans="1:11" ht="34" x14ac:dyDescent="0.2">
      <c r="A2" s="43">
        <v>1</v>
      </c>
      <c r="B2" s="43" t="s">
        <v>36</v>
      </c>
      <c r="C2" s="43" t="s">
        <v>41</v>
      </c>
      <c r="D2" s="45" t="s">
        <v>47</v>
      </c>
      <c r="E2" s="45" t="s">
        <v>62</v>
      </c>
      <c r="F2" s="40"/>
      <c r="G2" s="40"/>
      <c r="H2" s="40"/>
      <c r="I2" s="40"/>
      <c r="J2" s="40"/>
      <c r="K2" s="40"/>
    </row>
    <row r="3" spans="1:11" ht="34" x14ac:dyDescent="0.2">
      <c r="A3" s="43">
        <v>2</v>
      </c>
      <c r="B3" s="43" t="s">
        <v>37</v>
      </c>
      <c r="C3" s="43" t="s">
        <v>42</v>
      </c>
      <c r="D3" s="45" t="s">
        <v>47</v>
      </c>
      <c r="E3" s="45" t="s">
        <v>54</v>
      </c>
      <c r="F3" s="40"/>
      <c r="G3" s="40"/>
      <c r="H3" s="40"/>
      <c r="I3" s="40"/>
      <c r="J3" s="40"/>
      <c r="K3" s="40"/>
    </row>
    <row r="4" spans="1:11" ht="34" x14ac:dyDescent="0.2">
      <c r="A4" s="43">
        <v>3</v>
      </c>
      <c r="B4" s="43" t="s">
        <v>44</v>
      </c>
      <c r="C4" s="43" t="s">
        <v>43</v>
      </c>
      <c r="D4" s="45" t="s">
        <v>48</v>
      </c>
      <c r="E4" s="45" t="s">
        <v>63</v>
      </c>
      <c r="F4" s="40"/>
      <c r="G4" s="40"/>
      <c r="H4" s="40"/>
      <c r="I4" s="40"/>
      <c r="J4" s="40"/>
      <c r="K4" s="40"/>
    </row>
    <row r="5" spans="1:11" x14ac:dyDescent="0.2">
      <c r="A5" s="40"/>
      <c r="B5" s="40"/>
      <c r="C5" s="40"/>
      <c r="D5" s="41"/>
      <c r="E5" s="40"/>
      <c r="F5" s="40"/>
      <c r="G5" s="40"/>
      <c r="H5" s="40"/>
      <c r="I5" s="40"/>
      <c r="J5" s="40"/>
      <c r="K5" s="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F690-8AB6-E84F-96AC-960A89551C63}">
  <dimension ref="A1:J45"/>
  <sheetViews>
    <sheetView topLeftCell="F1" zoomScale="159" zoomScaleNormal="211" workbookViewId="0">
      <selection activeCell="C8" sqref="C8"/>
    </sheetView>
  </sheetViews>
  <sheetFormatPr baseColWidth="10" defaultRowHeight="16" x14ac:dyDescent="0.2"/>
  <cols>
    <col min="1" max="1" width="11.7109375" customWidth="1"/>
    <col min="2" max="2" width="40.7109375" customWidth="1"/>
    <col min="7" max="7" width="19" customWidth="1"/>
    <col min="8" max="8" width="18.140625" customWidth="1"/>
    <col min="9" max="9" width="16.85546875" customWidth="1"/>
    <col min="10" max="10" width="17.85546875" customWidth="1"/>
  </cols>
  <sheetData>
    <row r="1" spans="1:10" x14ac:dyDescent="0.2">
      <c r="A1" s="112" t="s">
        <v>86</v>
      </c>
      <c r="B1" s="43" t="s">
        <v>51</v>
      </c>
      <c r="C1" s="62">
        <v>150</v>
      </c>
      <c r="D1" s="40"/>
      <c r="E1" s="40"/>
      <c r="F1" s="24"/>
    </row>
    <row r="2" spans="1:10" x14ac:dyDescent="0.2">
      <c r="A2" s="111"/>
      <c r="B2" s="43" t="s">
        <v>52</v>
      </c>
      <c r="C2" s="62">
        <f>12*C1</f>
        <v>1800</v>
      </c>
      <c r="D2" s="40"/>
      <c r="E2" s="40"/>
      <c r="F2" s="24"/>
    </row>
    <row r="3" spans="1:10" x14ac:dyDescent="0.2">
      <c r="A3" s="111"/>
      <c r="B3" s="43" t="s">
        <v>49</v>
      </c>
      <c r="C3" s="63">
        <v>0.5</v>
      </c>
      <c r="D3" s="40"/>
      <c r="E3" s="40"/>
      <c r="G3" s="108" t="s">
        <v>117</v>
      </c>
      <c r="H3" s="109"/>
      <c r="I3" s="109"/>
      <c r="J3" s="110"/>
    </row>
    <row r="4" spans="1:10" x14ac:dyDescent="0.2">
      <c r="A4" s="111"/>
      <c r="B4" s="43" t="s">
        <v>50</v>
      </c>
      <c r="C4" s="62">
        <f>C3*C2</f>
        <v>900</v>
      </c>
      <c r="D4" s="40"/>
      <c r="E4" s="40"/>
      <c r="G4" s="44" t="s">
        <v>113</v>
      </c>
      <c r="H4" s="44" t="s">
        <v>112</v>
      </c>
      <c r="I4" s="44" t="s">
        <v>118</v>
      </c>
      <c r="J4" s="44" t="s">
        <v>119</v>
      </c>
    </row>
    <row r="5" spans="1:10" x14ac:dyDescent="0.2">
      <c r="A5" s="40"/>
      <c r="B5" s="40"/>
      <c r="C5" s="40"/>
      <c r="D5" s="40"/>
      <c r="E5" s="40"/>
      <c r="G5" s="43" t="s">
        <v>105</v>
      </c>
      <c r="H5" s="43" t="s">
        <v>110</v>
      </c>
      <c r="I5" s="71">
        <v>5</v>
      </c>
      <c r="J5" s="71">
        <v>10</v>
      </c>
    </row>
    <row r="6" spans="1:10" x14ac:dyDescent="0.2">
      <c r="A6" s="53" t="s">
        <v>39</v>
      </c>
      <c r="B6" s="113" t="s">
        <v>53</v>
      </c>
      <c r="C6" s="114"/>
      <c r="D6" s="53" t="s">
        <v>85</v>
      </c>
      <c r="E6" s="40"/>
      <c r="G6" s="43" t="s">
        <v>106</v>
      </c>
      <c r="H6" s="43" t="s">
        <v>111</v>
      </c>
      <c r="I6" s="71">
        <v>20</v>
      </c>
      <c r="J6" s="71">
        <v>10</v>
      </c>
    </row>
    <row r="7" spans="1:10" x14ac:dyDescent="0.2">
      <c r="A7" s="111">
        <v>1</v>
      </c>
      <c r="B7" s="47" t="s">
        <v>55</v>
      </c>
      <c r="C7" s="49">
        <v>0.2</v>
      </c>
      <c r="D7" s="111">
        <v>2028</v>
      </c>
      <c r="E7" s="40"/>
      <c r="G7" s="43" t="s">
        <v>107</v>
      </c>
      <c r="H7" s="43" t="s">
        <v>114</v>
      </c>
      <c r="I7" s="71">
        <v>10</v>
      </c>
      <c r="J7" s="71">
        <v>5</v>
      </c>
    </row>
    <row r="8" spans="1:10" x14ac:dyDescent="0.2">
      <c r="A8" s="111"/>
      <c r="B8" s="47" t="s">
        <v>56</v>
      </c>
      <c r="C8" s="50">
        <f>C7*C4</f>
        <v>180</v>
      </c>
      <c r="D8" s="111"/>
      <c r="E8" s="40"/>
      <c r="G8" s="43" t="s">
        <v>108</v>
      </c>
      <c r="H8" s="43" t="s">
        <v>115</v>
      </c>
      <c r="I8" s="71">
        <v>5</v>
      </c>
      <c r="J8" s="71">
        <v>5</v>
      </c>
    </row>
    <row r="9" spans="1:10" x14ac:dyDescent="0.2">
      <c r="A9" s="111"/>
      <c r="B9" s="47" t="s">
        <v>57</v>
      </c>
      <c r="C9" s="50">
        <v>120</v>
      </c>
      <c r="D9" s="111"/>
      <c r="E9" s="40"/>
      <c r="G9" s="43" t="s">
        <v>109</v>
      </c>
      <c r="H9" s="43" t="s">
        <v>116</v>
      </c>
      <c r="I9" s="71">
        <v>50</v>
      </c>
      <c r="J9" s="71">
        <v>150</v>
      </c>
    </row>
    <row r="10" spans="1:10" x14ac:dyDescent="0.2">
      <c r="A10" s="111"/>
      <c r="B10" s="48" t="s">
        <v>58</v>
      </c>
      <c r="C10" s="51">
        <f>C8+C9</f>
        <v>300</v>
      </c>
      <c r="D10" s="111"/>
      <c r="E10" s="40"/>
      <c r="I10" s="40">
        <f>AVERAGE(I5:I9)</f>
        <v>18</v>
      </c>
      <c r="J10" s="40">
        <f>AVERAGE(J5:J9)</f>
        <v>36</v>
      </c>
    </row>
    <row r="11" spans="1:10" x14ac:dyDescent="0.2">
      <c r="A11" s="111"/>
      <c r="B11" s="47" t="s">
        <v>95</v>
      </c>
      <c r="C11" s="49">
        <v>0.25</v>
      </c>
      <c r="D11" s="111"/>
      <c r="E11" s="40"/>
      <c r="J11" s="70"/>
    </row>
    <row r="12" spans="1:10" x14ac:dyDescent="0.2">
      <c r="A12" s="111"/>
      <c r="B12" s="47" t="s">
        <v>94</v>
      </c>
      <c r="C12" s="50">
        <f>C11*C10</f>
        <v>75</v>
      </c>
      <c r="D12" s="111"/>
      <c r="E12" s="40"/>
    </row>
    <row r="13" spans="1:10" x14ac:dyDescent="0.2">
      <c r="A13" s="111"/>
      <c r="B13" s="47" t="s">
        <v>59</v>
      </c>
      <c r="C13" s="50">
        <f>C10-C12</f>
        <v>225</v>
      </c>
      <c r="D13" s="111"/>
      <c r="E13" s="40"/>
    </row>
    <row r="14" spans="1:10" x14ac:dyDescent="0.2">
      <c r="A14" s="111"/>
      <c r="B14" s="47" t="s">
        <v>82</v>
      </c>
      <c r="C14" s="49">
        <v>0.1</v>
      </c>
      <c r="D14" s="111"/>
      <c r="E14" s="40"/>
    </row>
    <row r="15" spans="1:10" x14ac:dyDescent="0.2">
      <c r="A15" s="111"/>
      <c r="B15" s="47" t="s">
        <v>79</v>
      </c>
      <c r="C15" s="52">
        <f>C14*C12</f>
        <v>7.5</v>
      </c>
      <c r="D15" s="111"/>
      <c r="E15" s="40"/>
    </row>
    <row r="16" spans="1:10" x14ac:dyDescent="0.2">
      <c r="A16" s="111"/>
      <c r="B16" s="58" t="s">
        <v>80</v>
      </c>
      <c r="C16" s="59">
        <f>C12-C15</f>
        <v>67.5</v>
      </c>
      <c r="D16" s="111"/>
      <c r="E16" s="40"/>
    </row>
    <row r="17" spans="1:5" x14ac:dyDescent="0.2">
      <c r="A17" s="115">
        <v>2</v>
      </c>
      <c r="B17" s="48" t="s">
        <v>60</v>
      </c>
      <c r="C17" s="50">
        <f>C10</f>
        <v>300</v>
      </c>
      <c r="D17" s="111">
        <v>2029</v>
      </c>
      <c r="E17" s="40"/>
    </row>
    <row r="18" spans="1:5" x14ac:dyDescent="0.2">
      <c r="A18" s="116"/>
      <c r="B18" s="47" t="s">
        <v>72</v>
      </c>
      <c r="C18" s="50">
        <v>150</v>
      </c>
      <c r="D18" s="111"/>
      <c r="E18" s="40"/>
    </row>
    <row r="19" spans="1:5" x14ac:dyDescent="0.2">
      <c r="A19" s="116"/>
      <c r="B19" s="47" t="s">
        <v>64</v>
      </c>
      <c r="C19" s="49">
        <v>0.5</v>
      </c>
      <c r="D19" s="111"/>
      <c r="E19" s="40"/>
    </row>
    <row r="20" spans="1:5" x14ac:dyDescent="0.2">
      <c r="A20" s="116"/>
      <c r="B20" s="47" t="s">
        <v>65</v>
      </c>
      <c r="C20" s="50">
        <f>C19*C18</f>
        <v>75</v>
      </c>
      <c r="D20" s="111"/>
      <c r="E20" s="40"/>
    </row>
    <row r="21" spans="1:5" x14ac:dyDescent="0.2">
      <c r="A21" s="116"/>
      <c r="B21" s="47" t="s">
        <v>61</v>
      </c>
      <c r="C21" s="50">
        <f>C17+C20</f>
        <v>375</v>
      </c>
      <c r="D21" s="111"/>
      <c r="E21" s="40"/>
    </row>
    <row r="22" spans="1:5" x14ac:dyDescent="0.2">
      <c r="A22" s="116"/>
      <c r="B22" s="47" t="s">
        <v>66</v>
      </c>
      <c r="C22" s="50">
        <f>C18-C20</f>
        <v>75</v>
      </c>
      <c r="D22" s="111"/>
      <c r="E22" s="40"/>
    </row>
    <row r="23" spans="1:5" x14ac:dyDescent="0.2">
      <c r="A23" s="116"/>
      <c r="B23" s="47" t="s">
        <v>81</v>
      </c>
      <c r="C23" s="49">
        <v>0.2</v>
      </c>
      <c r="D23" s="111"/>
      <c r="E23" s="40"/>
    </row>
    <row r="24" spans="1:5" x14ac:dyDescent="0.2">
      <c r="A24" s="116"/>
      <c r="B24" s="47" t="s">
        <v>83</v>
      </c>
      <c r="C24" s="50">
        <f>C22*C23</f>
        <v>15</v>
      </c>
      <c r="D24" s="111"/>
      <c r="E24" s="40"/>
    </row>
    <row r="25" spans="1:5" x14ac:dyDescent="0.2">
      <c r="A25" s="116"/>
      <c r="B25" s="47" t="s">
        <v>80</v>
      </c>
      <c r="C25" s="50">
        <f>C16</f>
        <v>67.5</v>
      </c>
      <c r="D25" s="111"/>
      <c r="E25" s="40"/>
    </row>
    <row r="26" spans="1:5" x14ac:dyDescent="0.2">
      <c r="A26" s="116"/>
      <c r="B26" s="66" t="s">
        <v>67</v>
      </c>
      <c r="C26" s="65">
        <f>C22-C24</f>
        <v>60</v>
      </c>
      <c r="D26" s="111"/>
      <c r="E26" s="40"/>
    </row>
    <row r="27" spans="1:5" x14ac:dyDescent="0.2">
      <c r="A27" s="117"/>
      <c r="B27" s="60" t="s">
        <v>84</v>
      </c>
      <c r="C27" s="61">
        <f>C25+C26</f>
        <v>127.5</v>
      </c>
      <c r="D27" s="111"/>
      <c r="E27" s="40"/>
    </row>
    <row r="28" spans="1:5" x14ac:dyDescent="0.2">
      <c r="A28" s="111">
        <v>3</v>
      </c>
      <c r="B28" s="47" t="s">
        <v>68</v>
      </c>
      <c r="C28" s="50">
        <f>C10</f>
        <v>300</v>
      </c>
      <c r="D28" s="111">
        <v>2030</v>
      </c>
      <c r="E28" s="40"/>
    </row>
    <row r="29" spans="1:5" x14ac:dyDescent="0.2">
      <c r="A29" s="111"/>
      <c r="B29" s="47" t="s">
        <v>73</v>
      </c>
      <c r="C29" s="50">
        <f>C18</f>
        <v>150</v>
      </c>
      <c r="D29" s="111"/>
      <c r="E29" s="40"/>
    </row>
    <row r="30" spans="1:5" x14ac:dyDescent="0.2">
      <c r="A30" s="111"/>
      <c r="B30" s="47" t="s">
        <v>77</v>
      </c>
      <c r="C30" s="50">
        <v>600</v>
      </c>
      <c r="D30" s="111"/>
      <c r="E30" s="40"/>
    </row>
    <row r="31" spans="1:5" x14ac:dyDescent="0.2">
      <c r="A31" s="111"/>
      <c r="B31" s="47" t="s">
        <v>78</v>
      </c>
      <c r="C31" s="50">
        <v>350</v>
      </c>
      <c r="D31" s="111"/>
      <c r="E31" s="40"/>
    </row>
    <row r="32" spans="1:5" x14ac:dyDescent="0.2">
      <c r="A32" s="111"/>
      <c r="B32" s="47" t="s">
        <v>69</v>
      </c>
      <c r="C32" s="50">
        <v>400</v>
      </c>
      <c r="D32" s="111"/>
      <c r="E32" s="40"/>
    </row>
    <row r="33" spans="1:4" x14ac:dyDescent="0.2">
      <c r="A33" s="111"/>
      <c r="B33" s="47" t="s">
        <v>74</v>
      </c>
      <c r="C33" s="50">
        <v>100</v>
      </c>
      <c r="D33" s="111"/>
    </row>
    <row r="34" spans="1:4" x14ac:dyDescent="0.2">
      <c r="A34" s="111"/>
      <c r="B34" s="47" t="s">
        <v>70</v>
      </c>
      <c r="C34" s="50">
        <v>120</v>
      </c>
      <c r="D34" s="111"/>
    </row>
    <row r="35" spans="1:4" x14ac:dyDescent="0.2">
      <c r="A35" s="111"/>
      <c r="B35" s="47" t="s">
        <v>75</v>
      </c>
      <c r="C35" s="50">
        <v>80</v>
      </c>
      <c r="D35" s="111"/>
    </row>
    <row r="36" spans="1:4" x14ac:dyDescent="0.2">
      <c r="A36" s="111"/>
      <c r="B36" s="47" t="s">
        <v>71</v>
      </c>
      <c r="C36" s="50">
        <f>C28+C32+C34+C30</f>
        <v>1420</v>
      </c>
      <c r="D36" s="111"/>
    </row>
    <row r="37" spans="1:4" x14ac:dyDescent="0.2">
      <c r="A37" s="111"/>
      <c r="B37" s="47" t="s">
        <v>76</v>
      </c>
      <c r="C37" s="50">
        <f>C29+C31+C33+C35</f>
        <v>680</v>
      </c>
      <c r="D37" s="111"/>
    </row>
    <row r="38" spans="1:4" x14ac:dyDescent="0.2">
      <c r="A38" s="111"/>
      <c r="B38" s="47" t="s">
        <v>93</v>
      </c>
      <c r="C38" s="50">
        <f>C30+C32+C34</f>
        <v>1120</v>
      </c>
      <c r="D38" s="111"/>
    </row>
    <row r="39" spans="1:4" x14ac:dyDescent="0.2">
      <c r="A39" s="111"/>
      <c r="B39" s="47" t="s">
        <v>94</v>
      </c>
      <c r="C39" s="50">
        <f>C11*C38</f>
        <v>280</v>
      </c>
      <c r="D39" s="111"/>
    </row>
    <row r="40" spans="1:4" x14ac:dyDescent="0.2">
      <c r="A40" s="111"/>
      <c r="B40" s="47" t="s">
        <v>79</v>
      </c>
      <c r="C40" s="50">
        <f>C14*C39</f>
        <v>28</v>
      </c>
      <c r="D40" s="111"/>
    </row>
    <row r="41" spans="1:4" x14ac:dyDescent="0.2">
      <c r="A41" s="111"/>
      <c r="B41" s="47" t="s">
        <v>96</v>
      </c>
      <c r="C41" s="50">
        <f>C37-C29</f>
        <v>530</v>
      </c>
      <c r="D41" s="111"/>
    </row>
    <row r="42" spans="1:4" x14ac:dyDescent="0.2">
      <c r="A42" s="111"/>
      <c r="B42" s="48" t="s">
        <v>83</v>
      </c>
      <c r="C42" s="50">
        <f>C23*C41</f>
        <v>106</v>
      </c>
      <c r="D42" s="111"/>
    </row>
    <row r="43" spans="1:4" x14ac:dyDescent="0.2">
      <c r="A43" s="111"/>
      <c r="B43" s="47" t="s">
        <v>97</v>
      </c>
      <c r="C43" s="50">
        <f>C39-C40</f>
        <v>252</v>
      </c>
      <c r="D43" s="111"/>
    </row>
    <row r="44" spans="1:4" x14ac:dyDescent="0.2">
      <c r="A44" s="111"/>
      <c r="B44" s="48" t="s">
        <v>98</v>
      </c>
      <c r="C44" s="50">
        <f>C41-C42</f>
        <v>424</v>
      </c>
      <c r="D44" s="111"/>
    </row>
    <row r="45" spans="1:4" x14ac:dyDescent="0.2">
      <c r="A45" s="111"/>
      <c r="B45" s="58" t="s">
        <v>99</v>
      </c>
      <c r="C45" s="59">
        <f>C43+C44</f>
        <v>676</v>
      </c>
      <c r="D45" s="111"/>
    </row>
  </sheetData>
  <mergeCells count="9">
    <mergeCell ref="G3:J3"/>
    <mergeCell ref="D7:D16"/>
    <mergeCell ref="D17:D27"/>
    <mergeCell ref="D28:D45"/>
    <mergeCell ref="A1:A4"/>
    <mergeCell ref="B6:C6"/>
    <mergeCell ref="A7:A16"/>
    <mergeCell ref="A17:A27"/>
    <mergeCell ref="A28:A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03B2-AC00-BF41-8F37-10BCE756C08F}">
  <dimension ref="A1:AE50"/>
  <sheetViews>
    <sheetView defaultGridColor="0" colorId="9" zoomScale="160" zoomScaleNormal="160" workbookViewId="0">
      <pane ySplit="1" topLeftCell="A8" activePane="bottomLeft" state="frozen"/>
      <selection pane="bottomLeft" activeCell="A42" sqref="A42"/>
    </sheetView>
  </sheetViews>
  <sheetFormatPr baseColWidth="10" defaultColWidth="10.140625" defaultRowHeight="15" customHeight="1" x14ac:dyDescent="0.2"/>
  <cols>
    <col min="1" max="1" width="36.5703125" style="2" customWidth="1"/>
    <col min="2" max="2" width="11.85546875" style="21" customWidth="1"/>
    <col min="3" max="3" width="11.42578125" style="2" customWidth="1"/>
    <col min="4" max="9" width="11.7109375" style="2" customWidth="1"/>
    <col min="10" max="10" width="16.140625" style="2" customWidth="1"/>
    <col min="11" max="13" width="13.85546875" style="2" customWidth="1"/>
    <col min="14" max="14" width="5.140625" style="2" customWidth="1"/>
    <col min="15" max="15" width="11.7109375" style="2" customWidth="1"/>
    <col min="16" max="30" width="9.5703125" style="2" customWidth="1"/>
    <col min="31" max="31" width="10.140625" style="1" customWidth="1"/>
    <col min="32" max="16384" width="10.140625" style="1"/>
  </cols>
  <sheetData>
    <row r="1" spans="1:31" s="3" customFormat="1" ht="15" customHeight="1" x14ac:dyDescent="0.2">
      <c r="A1" s="8"/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31" s="3" customFormat="1" ht="15" customHeight="1" x14ac:dyDescent="0.2">
      <c r="A2" s="106" t="s">
        <v>6</v>
      </c>
      <c r="B2" s="107"/>
      <c r="C2" s="107"/>
      <c r="D2" s="107"/>
      <c r="E2" s="107"/>
      <c r="F2" s="107"/>
      <c r="G2" s="107"/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31" s="3" customFormat="1" ht="15" customHeight="1" x14ac:dyDescent="0.2">
      <c r="A3" s="9" t="s">
        <v>7</v>
      </c>
      <c r="B3" s="17"/>
      <c r="C3" s="22">
        <v>240000</v>
      </c>
      <c r="D3" s="22">
        <v>350000</v>
      </c>
      <c r="E3" s="22">
        <v>500000</v>
      </c>
      <c r="F3" s="22">
        <v>600000</v>
      </c>
      <c r="G3" s="22">
        <v>700000</v>
      </c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31" s="3" customFormat="1" ht="15" customHeight="1" x14ac:dyDescent="0.2">
      <c r="A4" s="9" t="s">
        <v>8</v>
      </c>
      <c r="B4" s="17"/>
      <c r="C4" s="22"/>
      <c r="D4" s="22"/>
      <c r="E4" s="22"/>
      <c r="F4" s="22"/>
      <c r="G4" s="22"/>
      <c r="H4" s="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31" s="3" customFormat="1" ht="15" customHeight="1" x14ac:dyDescent="0.2">
      <c r="A5" s="9" t="s">
        <v>9</v>
      </c>
      <c r="B5" s="17"/>
      <c r="C5" s="22"/>
      <c r="D5" s="22"/>
      <c r="E5" s="22"/>
      <c r="F5" s="22"/>
      <c r="G5" s="22"/>
      <c r="H5" s="7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31" s="3" customFormat="1" ht="15" customHeight="1" x14ac:dyDescent="0.2">
      <c r="A6" s="9" t="s">
        <v>10</v>
      </c>
      <c r="B6" s="18">
        <v>500000</v>
      </c>
      <c r="C6" s="22">
        <v>240000</v>
      </c>
      <c r="D6" s="22">
        <v>350000</v>
      </c>
      <c r="E6" s="22">
        <v>500000</v>
      </c>
      <c r="F6" s="22">
        <v>600000</v>
      </c>
      <c r="G6" s="22">
        <v>700000</v>
      </c>
      <c r="H6" s="7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31" s="2" customFormat="1" ht="15" customHeight="1" x14ac:dyDescent="0.2">
      <c r="A7" s="23" t="s">
        <v>11</v>
      </c>
      <c r="B7" s="19"/>
      <c r="C7" s="10"/>
      <c r="D7" s="10"/>
      <c r="E7" s="10"/>
      <c r="F7" s="10"/>
      <c r="G7" s="10"/>
      <c r="H7" s="7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3"/>
      <c r="AA7" s="3"/>
      <c r="AB7" s="3"/>
      <c r="AC7" s="3"/>
      <c r="AD7" s="3"/>
      <c r="AE7" s="3"/>
    </row>
    <row r="8" spans="1:31" s="3" customFormat="1" ht="15" customHeight="1" x14ac:dyDescent="0.2">
      <c r="A8" s="11" t="s">
        <v>12</v>
      </c>
      <c r="B8" s="11"/>
      <c r="C8" s="12"/>
      <c r="D8" s="12"/>
      <c r="E8" s="12"/>
      <c r="F8" s="12"/>
      <c r="G8" s="12"/>
      <c r="H8" s="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31" s="3" customFormat="1" ht="15" customHeight="1" x14ac:dyDescent="0.2">
      <c r="A9" s="13" t="s">
        <v>13</v>
      </c>
      <c r="B9" s="15">
        <f>B13/B6</f>
        <v>0.56000000000000005</v>
      </c>
      <c r="C9" s="14">
        <v>0.6</v>
      </c>
      <c r="D9" s="14">
        <v>0.65</v>
      </c>
      <c r="E9" s="14">
        <v>0.7</v>
      </c>
      <c r="F9" s="14">
        <v>0.75</v>
      </c>
      <c r="G9" s="14">
        <v>0.8</v>
      </c>
      <c r="H9" s="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31" s="3" customFormat="1" ht="15" customHeight="1" x14ac:dyDescent="0.2">
      <c r="A10" s="13" t="s">
        <v>14</v>
      </c>
      <c r="B10" s="11"/>
      <c r="C10" s="14">
        <v>0.05</v>
      </c>
      <c r="D10" s="14">
        <v>0.1</v>
      </c>
      <c r="E10" s="14">
        <v>0.2</v>
      </c>
      <c r="F10" s="14">
        <v>0.3</v>
      </c>
      <c r="G10" s="14">
        <v>0.4</v>
      </c>
      <c r="H10" s="7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31" s="3" customFormat="1" ht="15" customHeight="1" x14ac:dyDescent="0.2">
      <c r="A11" s="13" t="s">
        <v>15</v>
      </c>
      <c r="B11" s="11"/>
      <c r="C11" s="14">
        <v>0.05</v>
      </c>
      <c r="D11" s="14">
        <v>0.1</v>
      </c>
      <c r="E11" s="14">
        <v>0.2</v>
      </c>
      <c r="F11" s="14">
        <v>0.3</v>
      </c>
      <c r="G11" s="14">
        <v>0.4</v>
      </c>
      <c r="H11" s="7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31" s="3" customFormat="1" ht="15" customHeight="1" x14ac:dyDescent="0.2">
      <c r="A12" s="11" t="s">
        <v>16</v>
      </c>
      <c r="B12" s="16"/>
      <c r="C12" s="10">
        <f>C9*C3+C10*C4+C11*C5</f>
        <v>144000</v>
      </c>
      <c r="D12" s="10">
        <f>D9*D3+D10*D4+D11*D5</f>
        <v>227500</v>
      </c>
      <c r="E12" s="10">
        <f>E9*E3+E10*E4+E11*E5</f>
        <v>350000</v>
      </c>
      <c r="F12" s="10">
        <f>F9*F3+F10*F4+F11*F5</f>
        <v>450000</v>
      </c>
      <c r="G12" s="10">
        <f>G9*G3+G10*G4+G11*G5</f>
        <v>560000</v>
      </c>
      <c r="H12" s="7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31" s="3" customFormat="1" ht="15" customHeight="1" x14ac:dyDescent="0.2">
      <c r="A13" s="11" t="s">
        <v>17</v>
      </c>
      <c r="B13" s="16">
        <v>280000</v>
      </c>
      <c r="C13" s="10">
        <f>B13+C12</f>
        <v>424000</v>
      </c>
      <c r="D13" s="10">
        <f t="shared" ref="D13:G13" si="0">C13+D12</f>
        <v>651500</v>
      </c>
      <c r="E13" s="10">
        <f t="shared" si="0"/>
        <v>1001500</v>
      </c>
      <c r="F13" s="10">
        <f t="shared" si="0"/>
        <v>1451500</v>
      </c>
      <c r="G13" s="10">
        <f t="shared" si="0"/>
        <v>2011500</v>
      </c>
      <c r="H13" s="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31" s="3" customFormat="1" ht="15" customHeight="1" x14ac:dyDescent="0.2">
      <c r="A14" s="23" t="s">
        <v>18</v>
      </c>
      <c r="B14" s="20"/>
      <c r="C14" s="6"/>
      <c r="D14" s="6"/>
      <c r="E14" s="6"/>
      <c r="F14" s="6"/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31" ht="15" customHeight="1" x14ac:dyDescent="0.2">
      <c r="A15" s="11" t="s">
        <v>19</v>
      </c>
      <c r="B15" s="11"/>
      <c r="C15" s="12"/>
      <c r="D15" s="12"/>
      <c r="E15" s="12"/>
      <c r="F15" s="12"/>
      <c r="G15" s="1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1" s="2" customFormat="1" ht="15" customHeight="1" x14ac:dyDescent="0.2">
      <c r="A16" s="13" t="s">
        <v>20</v>
      </c>
      <c r="B16" s="15"/>
      <c r="C16" s="14">
        <v>1</v>
      </c>
      <c r="D16" s="14">
        <v>1</v>
      </c>
      <c r="E16" s="14">
        <v>1</v>
      </c>
      <c r="F16" s="14">
        <v>1</v>
      </c>
      <c r="G16" s="14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s="3" customFormat="1" ht="15" customHeight="1" x14ac:dyDescent="0.2">
      <c r="A17" s="13" t="s">
        <v>21</v>
      </c>
      <c r="B17" s="15"/>
      <c r="C17" s="14">
        <v>0.05</v>
      </c>
      <c r="D17" s="14">
        <v>0.1</v>
      </c>
      <c r="E17" s="14">
        <v>0.14000000000000001</v>
      </c>
      <c r="F17" s="14">
        <v>0.18</v>
      </c>
      <c r="G17" s="14">
        <v>0.22</v>
      </c>
    </row>
    <row r="18" spans="1:31" s="3" customFormat="1" ht="15" customHeight="1" x14ac:dyDescent="0.2">
      <c r="A18" s="13" t="s">
        <v>22</v>
      </c>
      <c r="B18" s="38">
        <f>B23/B13</f>
        <v>1.0464285714285714E-3</v>
      </c>
      <c r="C18" s="14">
        <v>0.03</v>
      </c>
      <c r="D18" s="14">
        <v>0.04</v>
      </c>
      <c r="E18" s="14">
        <v>0.06</v>
      </c>
      <c r="F18" s="14">
        <v>0.08</v>
      </c>
      <c r="G18" s="14">
        <v>0.12</v>
      </c>
    </row>
    <row r="19" spans="1:31" s="2" customFormat="1" ht="15" customHeight="1" x14ac:dyDescent="0.2">
      <c r="A19" s="13" t="s">
        <v>23</v>
      </c>
      <c r="B19" s="38">
        <f>B24/B13</f>
        <v>6.5500000000000003E-3</v>
      </c>
      <c r="C19" s="14">
        <v>0.03</v>
      </c>
      <c r="D19" s="14">
        <v>0.08</v>
      </c>
      <c r="E19" s="14">
        <v>0.1</v>
      </c>
      <c r="F19" s="14">
        <v>0.12</v>
      </c>
      <c r="G19" s="14">
        <v>0.16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s="2" customFormat="1" ht="15" customHeight="1" x14ac:dyDescent="0.2">
      <c r="A20" s="11" t="s">
        <v>24</v>
      </c>
      <c r="B20" s="10"/>
      <c r="C20" s="10"/>
      <c r="D20" s="10"/>
      <c r="E20" s="10"/>
      <c r="F20" s="10"/>
      <c r="G20" s="1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s="3" customFormat="1" ht="15" customHeight="1" x14ac:dyDescent="0.2">
      <c r="A21" s="13" t="s">
        <v>20</v>
      </c>
      <c r="B21" s="10">
        <v>8174</v>
      </c>
      <c r="C21" s="10">
        <f>C16*C6</f>
        <v>240000</v>
      </c>
      <c r="D21" s="10">
        <f>D16*D6</f>
        <v>350000</v>
      </c>
      <c r="E21" s="10">
        <f>E16*E6</f>
        <v>500000</v>
      </c>
      <c r="F21" s="10">
        <f>F16*F6</f>
        <v>600000</v>
      </c>
      <c r="G21" s="10">
        <f>G16*G6</f>
        <v>700000</v>
      </c>
    </row>
    <row r="22" spans="1:31" s="3" customFormat="1" ht="15" customHeight="1" x14ac:dyDescent="0.2">
      <c r="A22" s="13" t="s">
        <v>21</v>
      </c>
      <c r="B22" s="10"/>
      <c r="C22" s="10">
        <f>(C13-C12)*C17</f>
        <v>14000</v>
      </c>
      <c r="D22" s="10">
        <f t="shared" ref="D22:G22" si="1">(D13-D12)*D17</f>
        <v>42400</v>
      </c>
      <c r="E22" s="10">
        <f t="shared" si="1"/>
        <v>91210.000000000015</v>
      </c>
      <c r="F22" s="10">
        <f t="shared" si="1"/>
        <v>180270</v>
      </c>
      <c r="G22" s="10">
        <f t="shared" si="1"/>
        <v>319330</v>
      </c>
    </row>
    <row r="23" spans="1:31" s="3" customFormat="1" ht="15" customHeight="1" x14ac:dyDescent="0.2">
      <c r="A23" s="13" t="s">
        <v>22</v>
      </c>
      <c r="B23" s="10">
        <v>293</v>
      </c>
      <c r="C23" s="10">
        <f>C18*(C13-C12)</f>
        <v>8400</v>
      </c>
      <c r="D23" s="10">
        <f>D18*(D13-D12)</f>
        <v>16960</v>
      </c>
      <c r="E23" s="10">
        <f>E18*(E13-E12)</f>
        <v>39090</v>
      </c>
      <c r="F23" s="10">
        <f>F18*(F13-F12)</f>
        <v>80120</v>
      </c>
      <c r="G23" s="10">
        <f>G18*(G13-G12)</f>
        <v>174180</v>
      </c>
    </row>
    <row r="24" spans="1:31" s="3" customFormat="1" ht="15" customHeight="1" x14ac:dyDescent="0.2">
      <c r="A24" s="13" t="s">
        <v>23</v>
      </c>
      <c r="B24" s="10">
        <v>1834</v>
      </c>
      <c r="C24" s="10">
        <f>C19*(C13-C12)</f>
        <v>8400</v>
      </c>
      <c r="D24" s="10">
        <f>D19*(D13-D12)</f>
        <v>33920</v>
      </c>
      <c r="E24" s="10">
        <f>E19*(E13-E12)</f>
        <v>65150</v>
      </c>
      <c r="F24" s="10">
        <f>F19*(F13-F12)</f>
        <v>120180</v>
      </c>
      <c r="G24" s="10">
        <f>G19*(G13-G12)</f>
        <v>232240</v>
      </c>
    </row>
    <row r="25" spans="1:31" s="3" customFormat="1" ht="15" customHeight="1" x14ac:dyDescent="0.2">
      <c r="A25" s="33"/>
      <c r="B25" s="34"/>
      <c r="C25" s="34"/>
      <c r="D25" s="34"/>
      <c r="E25" s="34"/>
      <c r="F25" s="34"/>
      <c r="G25" s="34"/>
    </row>
    <row r="26" spans="1:31" ht="20" customHeight="1" x14ac:dyDescent="0.2">
      <c r="A26" s="106" t="s">
        <v>25</v>
      </c>
      <c r="B26" s="107"/>
      <c r="C26" s="107"/>
      <c r="D26" s="107"/>
      <c r="E26" s="107"/>
      <c r="F26" s="107"/>
      <c r="G26" s="10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1" ht="15" customHeight="1" x14ac:dyDescent="0.2">
      <c r="A27" s="23" t="s">
        <v>26</v>
      </c>
      <c r="B27" s="25"/>
      <c r="C27" s="12"/>
      <c r="D27" s="12"/>
      <c r="E27" s="12"/>
      <c r="F27" s="12"/>
      <c r="G27" s="1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1" ht="15" customHeight="1" x14ac:dyDescent="0.2">
      <c r="A28" s="24" t="s">
        <v>27</v>
      </c>
      <c r="B28" s="25"/>
      <c r="C28" s="29">
        <v>96</v>
      </c>
      <c r="D28" s="29">
        <v>96</v>
      </c>
      <c r="E28" s="29">
        <v>96</v>
      </c>
      <c r="F28" s="29">
        <v>96</v>
      </c>
      <c r="G28" s="29">
        <v>96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1" ht="15" customHeight="1" x14ac:dyDescent="0.2">
      <c r="A29" s="24" t="s">
        <v>28</v>
      </c>
      <c r="B29" s="25"/>
      <c r="C29" s="29">
        <v>60</v>
      </c>
      <c r="D29" s="29">
        <v>60</v>
      </c>
      <c r="E29" s="29">
        <v>60</v>
      </c>
      <c r="F29" s="29">
        <v>60</v>
      </c>
      <c r="G29" s="29">
        <v>60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1" ht="15" customHeight="1" x14ac:dyDescent="0.2">
      <c r="A30" s="24" t="s">
        <v>29</v>
      </c>
      <c r="B30" s="25"/>
      <c r="C30" s="29">
        <v>400</v>
      </c>
      <c r="D30" s="29">
        <v>400</v>
      </c>
      <c r="E30" s="29">
        <v>400</v>
      </c>
      <c r="F30" s="29">
        <v>400</v>
      </c>
      <c r="G30" s="29">
        <v>400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1" ht="15" customHeight="1" x14ac:dyDescent="0.2">
      <c r="A31" s="13" t="s">
        <v>30</v>
      </c>
      <c r="B31" s="25"/>
      <c r="C31" s="26">
        <f>C16*C29*C6</f>
        <v>14400000</v>
      </c>
      <c r="D31" s="26">
        <f>D16*D29*D6</f>
        <v>21000000</v>
      </c>
      <c r="E31" s="26">
        <f>E16*E29*E6</f>
        <v>30000000</v>
      </c>
      <c r="F31" s="26">
        <f>F16*F29*F6</f>
        <v>36000000</v>
      </c>
      <c r="G31" s="26">
        <f>G16*G29*G6</f>
        <v>42000000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1" ht="15" customHeight="1" x14ac:dyDescent="0.2">
      <c r="A32" s="13" t="s">
        <v>31</v>
      </c>
      <c r="B32" s="25"/>
      <c r="C32" s="26">
        <f>C28*C21</f>
        <v>23040000</v>
      </c>
      <c r="D32" s="26">
        <f>D28*D21</f>
        <v>33600000</v>
      </c>
      <c r="E32" s="26">
        <f t="shared" ref="E32:G32" si="2">E28*E21</f>
        <v>48000000</v>
      </c>
      <c r="F32" s="26">
        <f t="shared" si="2"/>
        <v>57600000</v>
      </c>
      <c r="G32" s="26">
        <f t="shared" si="2"/>
        <v>67200000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" customHeight="1" x14ac:dyDescent="0.2">
      <c r="A33" s="13" t="s">
        <v>32</v>
      </c>
      <c r="B33" s="25"/>
      <c r="C33" s="26">
        <f>C29*C22</f>
        <v>840000</v>
      </c>
      <c r="D33" s="26">
        <f t="shared" ref="D33:G34" si="3">D29*D23</f>
        <v>1017600</v>
      </c>
      <c r="E33" s="26">
        <f t="shared" si="3"/>
        <v>2345400</v>
      </c>
      <c r="F33" s="26">
        <f t="shared" si="3"/>
        <v>4807200</v>
      </c>
      <c r="G33" s="26">
        <f t="shared" si="3"/>
        <v>10450800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" customHeight="1" x14ac:dyDescent="0.2">
      <c r="A34" s="13" t="s">
        <v>33</v>
      </c>
      <c r="B34" s="25"/>
      <c r="C34" s="26">
        <f>C30*C23</f>
        <v>3360000</v>
      </c>
      <c r="D34" s="26">
        <f t="shared" si="3"/>
        <v>13568000</v>
      </c>
      <c r="E34" s="26">
        <f t="shared" si="3"/>
        <v>26060000</v>
      </c>
      <c r="F34" s="26">
        <f t="shared" si="3"/>
        <v>48072000</v>
      </c>
      <c r="G34" s="26">
        <f t="shared" si="3"/>
        <v>92896000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" customHeight="1" x14ac:dyDescent="0.2">
      <c r="A35" s="27" t="s">
        <v>34</v>
      </c>
      <c r="B35" s="25"/>
      <c r="C35" s="26">
        <f>SUM(C31:C34)</f>
        <v>41640000</v>
      </c>
      <c r="D35" s="26">
        <f>SUM(D31:D34)</f>
        <v>69185600</v>
      </c>
      <c r="E35" s="26">
        <f t="shared" ref="E35:G35" si="4">SUM(E31:E34)</f>
        <v>106405400</v>
      </c>
      <c r="F35" s="26">
        <f t="shared" si="4"/>
        <v>146479200</v>
      </c>
      <c r="G35" s="26">
        <f t="shared" si="4"/>
        <v>212546800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" customHeight="1" x14ac:dyDescent="0.2">
      <c r="A36" s="32" t="s">
        <v>87</v>
      </c>
      <c r="B36" s="30"/>
      <c r="C36" s="31"/>
      <c r="D36" s="31"/>
      <c r="E36" s="31"/>
      <c r="F36" s="31"/>
      <c r="G36" s="3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" customHeight="1" x14ac:dyDescent="0.2">
      <c r="A37" s="27" t="s">
        <v>89</v>
      </c>
      <c r="B37" s="30"/>
      <c r="C37" s="56"/>
      <c r="D37" s="56"/>
      <c r="E37" s="57">
        <v>0.01</v>
      </c>
      <c r="F37" s="57">
        <v>0.05</v>
      </c>
      <c r="G37" s="57">
        <v>0.1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" customHeight="1" x14ac:dyDescent="0.2">
      <c r="A38" s="27" t="s">
        <v>88</v>
      </c>
      <c r="B38" s="30"/>
      <c r="C38" s="31"/>
      <c r="D38" s="31"/>
      <c r="E38" s="54">
        <f>E37*E13</f>
        <v>10015</v>
      </c>
      <c r="F38" s="54">
        <f>F37*F13</f>
        <v>72575</v>
      </c>
      <c r="G38" s="54">
        <f>G37*G13</f>
        <v>201150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" customHeight="1" x14ac:dyDescent="0.2">
      <c r="A39" s="27" t="s">
        <v>90</v>
      </c>
      <c r="B39" s="30"/>
      <c r="C39" s="31"/>
      <c r="D39" s="31"/>
      <c r="E39" s="55">
        <f>E38*Assumptions!$C$16</f>
        <v>676012.5</v>
      </c>
      <c r="F39" s="55">
        <f>F38*Assumptions!$C$16</f>
        <v>4898812.5</v>
      </c>
      <c r="G39" s="55">
        <f>G38*Assumptions!$C$16</f>
        <v>13577625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" customHeight="1" x14ac:dyDescent="0.2">
      <c r="A40" s="27" t="s">
        <v>91</v>
      </c>
      <c r="B40" s="30"/>
      <c r="C40" s="31"/>
      <c r="D40" s="31"/>
      <c r="E40" s="55"/>
      <c r="F40" s="55">
        <f>F38*Assumptions!$C$26</f>
        <v>4354500</v>
      </c>
      <c r="G40" s="55">
        <f>G38*Assumptions!$C$26</f>
        <v>12069000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" customHeight="1" x14ac:dyDescent="0.2">
      <c r="A41" s="27" t="s">
        <v>92</v>
      </c>
      <c r="B41" s="30"/>
      <c r="C41" s="31"/>
      <c r="D41" s="31"/>
      <c r="E41" s="55"/>
      <c r="F41" s="55"/>
      <c r="G41" s="55">
        <f>G38*Assumptions!C45</f>
        <v>135977400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" customHeight="1" x14ac:dyDescent="0.2">
      <c r="A42" s="27" t="s">
        <v>34</v>
      </c>
      <c r="B42" s="30"/>
      <c r="C42" s="31">
        <f>SUM(C39:C41)</f>
        <v>0</v>
      </c>
      <c r="D42" s="55">
        <f t="shared" ref="D42:F42" si="5">SUM(D39:D41)</f>
        <v>0</v>
      </c>
      <c r="E42" s="55">
        <f t="shared" si="5"/>
        <v>676012.5</v>
      </c>
      <c r="F42" s="55">
        <f t="shared" si="5"/>
        <v>9253312.5</v>
      </c>
      <c r="G42" s="55">
        <f>SUM(G39:G41)</f>
        <v>161624025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" customHeight="1" x14ac:dyDescent="0.2">
      <c r="A43" s="35" t="s">
        <v>35</v>
      </c>
      <c r="B43" s="36"/>
      <c r="C43" s="37">
        <f>C35+C42</f>
        <v>41640000</v>
      </c>
      <c r="D43" s="37">
        <f t="shared" ref="D43:G43" si="6">D35+D42</f>
        <v>69185600</v>
      </c>
      <c r="E43" s="37">
        <f t="shared" si="6"/>
        <v>107081412.5</v>
      </c>
      <c r="F43" s="37">
        <f t="shared" si="6"/>
        <v>155732512.5</v>
      </c>
      <c r="G43" s="37">
        <f t="shared" si="6"/>
        <v>374170825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" customHeight="1" x14ac:dyDescent="0.2">
      <c r="A44" s="4"/>
      <c r="B44" s="28"/>
      <c r="C44" s="4"/>
      <c r="D44" s="4"/>
      <c r="E44" s="4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" customHeight="1" x14ac:dyDescent="0.2">
      <c r="A45" s="4"/>
      <c r="B45" s="28"/>
      <c r="C45" s="4"/>
      <c r="D45" s="4"/>
      <c r="E45" s="4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" customHeight="1" x14ac:dyDescent="0.2">
      <c r="A46" s="4"/>
      <c r="B46" s="28"/>
      <c r="C46" s="4"/>
      <c r="D46" s="4"/>
      <c r="E46" s="4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" customHeight="1" x14ac:dyDescent="0.2">
      <c r="A47" s="4"/>
      <c r="B47" s="28"/>
      <c r="C47" s="4"/>
      <c r="D47" s="4"/>
      <c r="E47" s="4"/>
      <c r="F47" s="4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" customHeight="1" x14ac:dyDescent="0.2">
      <c r="A48" s="4"/>
      <c r="B48" s="28"/>
      <c r="C48" s="4"/>
      <c r="D48" s="4"/>
      <c r="E48" s="4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" customHeight="1" x14ac:dyDescent="0.2">
      <c r="A49" s="4"/>
      <c r="B49" s="28"/>
      <c r="C49" s="4"/>
      <c r="D49" s="4"/>
      <c r="E49" s="4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" customHeight="1" x14ac:dyDescent="0.2">
      <c r="A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</sheetData>
  <mergeCells count="2">
    <mergeCell ref="A26:G26"/>
    <mergeCell ref="A2:G2"/>
  </mergeCells>
  <pageMargins left="0.75" right="0.75" top="1" bottom="1" header="0" footer="0"/>
  <pageSetup orientation="portrait"/>
  <headerFooter>
    <oddFooter>&amp;C&amp;"Arial,Regular"&amp;12&amp;K000000000000&amp;P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8DBB-4A00-A848-9360-86450EA069D2}">
  <dimension ref="A1:AE60"/>
  <sheetViews>
    <sheetView tabSelected="1" defaultGridColor="0" colorId="9" zoomScale="120" zoomScaleNormal="120" workbookViewId="0">
      <pane ySplit="1" topLeftCell="A2" activePane="bottomLeft" state="frozen"/>
      <selection pane="bottomLeft" activeCell="I6" sqref="I6"/>
    </sheetView>
  </sheetViews>
  <sheetFormatPr baseColWidth="10" defaultColWidth="10.140625" defaultRowHeight="15" customHeight="1" x14ac:dyDescent="0.2"/>
  <cols>
    <col min="1" max="1" width="36.5703125" style="2" customWidth="1"/>
    <col min="2" max="2" width="13.5703125" style="21" customWidth="1"/>
    <col min="3" max="3" width="11.42578125" style="2" customWidth="1"/>
    <col min="4" max="9" width="11.7109375" style="2" customWidth="1"/>
    <col min="10" max="10" width="16.140625" style="2" customWidth="1"/>
    <col min="11" max="13" width="13.85546875" style="2" customWidth="1"/>
    <col min="14" max="14" width="5.140625" style="2" customWidth="1"/>
    <col min="15" max="15" width="11.7109375" style="2" customWidth="1"/>
    <col min="16" max="30" width="9.5703125" style="2" customWidth="1"/>
    <col min="31" max="31" width="10.140625" style="1" customWidth="1"/>
    <col min="32" max="16384" width="10.140625" style="1"/>
  </cols>
  <sheetData>
    <row r="1" spans="1:31" s="3" customFormat="1" ht="18" customHeight="1" x14ac:dyDescent="0.2">
      <c r="A1" s="8"/>
      <c r="B1" s="94" t="s">
        <v>166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31" s="3" customFormat="1" ht="15" customHeight="1" x14ac:dyDescent="0.2">
      <c r="A2" s="106" t="s">
        <v>6</v>
      </c>
      <c r="B2" s="107"/>
      <c r="C2" s="107"/>
      <c r="D2" s="107"/>
      <c r="E2" s="107"/>
      <c r="F2" s="107"/>
      <c r="G2" s="107"/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31" s="3" customFormat="1" ht="15" customHeight="1" x14ac:dyDescent="0.2">
      <c r="A3" s="9" t="s">
        <v>7</v>
      </c>
      <c r="B3" s="17"/>
      <c r="C3" s="22">
        <v>240000</v>
      </c>
      <c r="D3" s="22">
        <v>350000</v>
      </c>
      <c r="E3" s="22">
        <v>500000</v>
      </c>
      <c r="F3" s="22">
        <v>600000</v>
      </c>
      <c r="G3" s="22">
        <v>700000</v>
      </c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31" s="3" customFormat="1" ht="15" customHeight="1" x14ac:dyDescent="0.2">
      <c r="A4" s="9" t="s">
        <v>8</v>
      </c>
      <c r="B4" s="17"/>
      <c r="C4" s="104">
        <v>325000</v>
      </c>
      <c r="D4" s="104">
        <v>400000</v>
      </c>
      <c r="E4" s="104">
        <v>500000</v>
      </c>
      <c r="F4" s="104">
        <v>700000</v>
      </c>
      <c r="G4" s="104">
        <v>750000</v>
      </c>
      <c r="H4" s="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31" s="3" customFormat="1" ht="15" customHeight="1" x14ac:dyDescent="0.2">
      <c r="A5" s="9" t="s">
        <v>9</v>
      </c>
      <c r="B5" s="17"/>
      <c r="C5" s="104">
        <v>840</v>
      </c>
      <c r="D5" s="104">
        <v>4800</v>
      </c>
      <c r="E5" s="104">
        <v>13800</v>
      </c>
      <c r="F5" s="104">
        <v>24000</v>
      </c>
      <c r="G5" s="104">
        <v>30000</v>
      </c>
      <c r="H5" s="7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31" s="3" customFormat="1" ht="15" customHeight="1" x14ac:dyDescent="0.2">
      <c r="A6" s="9" t="s">
        <v>181</v>
      </c>
      <c r="B6" s="18"/>
      <c r="C6" s="22">
        <v>240000</v>
      </c>
      <c r="D6" s="22">
        <v>350000</v>
      </c>
      <c r="E6" s="22">
        <v>500000</v>
      </c>
      <c r="F6" s="22">
        <v>600000</v>
      </c>
      <c r="G6" s="22">
        <v>700000</v>
      </c>
      <c r="H6" s="7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31" s="3" customFormat="1" ht="15" customHeight="1" x14ac:dyDescent="0.2">
      <c r="A7" s="9" t="s">
        <v>180</v>
      </c>
      <c r="B7" s="18">
        <v>610064</v>
      </c>
      <c r="C7" s="93">
        <f>B7+C6</f>
        <v>850064</v>
      </c>
      <c r="D7" s="93">
        <f t="shared" ref="D7:G7" si="0">C7+D6</f>
        <v>1200064</v>
      </c>
      <c r="E7" s="93">
        <f t="shared" si="0"/>
        <v>1700064</v>
      </c>
      <c r="F7" s="93">
        <f t="shared" si="0"/>
        <v>2300064</v>
      </c>
      <c r="G7" s="93">
        <f t="shared" si="0"/>
        <v>3000064</v>
      </c>
      <c r="H7" s="7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31" s="3" customFormat="1" ht="15" customHeight="1" x14ac:dyDescent="0.2">
      <c r="A8" s="9" t="s">
        <v>182</v>
      </c>
      <c r="B8" s="18"/>
      <c r="C8" s="93">
        <f>C9*C6</f>
        <v>144000</v>
      </c>
      <c r="D8" s="93">
        <f t="shared" ref="D8:G8" si="1">D9*D6</f>
        <v>227500</v>
      </c>
      <c r="E8" s="93">
        <f t="shared" si="1"/>
        <v>350000</v>
      </c>
      <c r="F8" s="93">
        <f t="shared" si="1"/>
        <v>450000</v>
      </c>
      <c r="G8" s="93">
        <f t="shared" si="1"/>
        <v>560000</v>
      </c>
      <c r="H8" s="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31" s="3" customFormat="1" ht="15" customHeight="1" x14ac:dyDescent="0.2">
      <c r="A9" s="9" t="s">
        <v>183</v>
      </c>
      <c r="B9" s="88">
        <f>B10/B7</f>
        <v>0.55895774869521886</v>
      </c>
      <c r="C9" s="90">
        <v>0.6</v>
      </c>
      <c r="D9" s="90">
        <v>0.65</v>
      </c>
      <c r="E9" s="90">
        <v>0.7</v>
      </c>
      <c r="F9" s="90">
        <v>0.75</v>
      </c>
      <c r="G9" s="90">
        <v>0.8</v>
      </c>
      <c r="H9" s="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31" s="3" customFormat="1" ht="15" customHeight="1" x14ac:dyDescent="0.2">
      <c r="A10" s="9" t="s">
        <v>184</v>
      </c>
      <c r="B10" s="91">
        <v>341000</v>
      </c>
      <c r="C10" s="92">
        <f>B10+C8</f>
        <v>485000</v>
      </c>
      <c r="D10" s="92">
        <f t="shared" ref="D10:G10" si="2">C10+D8</f>
        <v>712500</v>
      </c>
      <c r="E10" s="92">
        <f t="shared" si="2"/>
        <v>1062500</v>
      </c>
      <c r="F10" s="92">
        <f t="shared" si="2"/>
        <v>1512500</v>
      </c>
      <c r="G10" s="92">
        <f t="shared" si="2"/>
        <v>2072500</v>
      </c>
      <c r="H10" s="7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31" s="3" customFormat="1" ht="15" customHeight="1" x14ac:dyDescent="0.2">
      <c r="A11" s="9" t="s">
        <v>188</v>
      </c>
      <c r="B11" s="91"/>
      <c r="C11" s="105">
        <f>C10/C7</f>
        <v>0.57054527659093901</v>
      </c>
      <c r="D11" s="105">
        <f t="shared" ref="D11:G11" si="3">D10/D7</f>
        <v>0.59371833502213212</v>
      </c>
      <c r="E11" s="105">
        <f t="shared" si="3"/>
        <v>0.62497647147401514</v>
      </c>
      <c r="F11" s="105">
        <f t="shared" si="3"/>
        <v>0.65759039748459169</v>
      </c>
      <c r="G11" s="105">
        <f t="shared" si="3"/>
        <v>0.69081859586995475</v>
      </c>
      <c r="H11" s="7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31" s="2" customFormat="1" ht="15" customHeight="1" x14ac:dyDescent="0.2">
      <c r="A12" s="23" t="s">
        <v>11</v>
      </c>
      <c r="B12" s="19"/>
      <c r="C12" s="10"/>
      <c r="D12" s="10"/>
      <c r="E12" s="10"/>
      <c r="F12" s="10"/>
      <c r="G12" s="10"/>
      <c r="H12" s="7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3"/>
      <c r="AA12" s="3"/>
      <c r="AB12" s="3"/>
      <c r="AC12" s="3"/>
      <c r="AD12" s="3"/>
      <c r="AE12" s="3"/>
    </row>
    <row r="13" spans="1:31" s="3" customFormat="1" ht="15" customHeight="1" x14ac:dyDescent="0.2">
      <c r="A13" s="11" t="s">
        <v>12</v>
      </c>
      <c r="B13" s="11"/>
      <c r="C13" s="12"/>
      <c r="D13" s="12"/>
      <c r="E13" s="12"/>
      <c r="F13" s="12"/>
      <c r="G13" s="12"/>
      <c r="H13" s="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31" s="3" customFormat="1" ht="15" customHeight="1" x14ac:dyDescent="0.2">
      <c r="A14" s="13" t="s">
        <v>13</v>
      </c>
      <c r="B14" s="15"/>
      <c r="C14" s="14">
        <v>0.93</v>
      </c>
      <c r="D14" s="14">
        <v>0.93</v>
      </c>
      <c r="E14" s="14">
        <v>0.93</v>
      </c>
      <c r="F14" s="14">
        <v>0.93</v>
      </c>
      <c r="G14" s="14">
        <v>0.93</v>
      </c>
      <c r="H14" s="7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31" s="3" customFormat="1" ht="15" customHeight="1" x14ac:dyDescent="0.2">
      <c r="A15" s="13" t="s">
        <v>179</v>
      </c>
      <c r="B15" s="15"/>
      <c r="C15" s="14">
        <v>0.05</v>
      </c>
      <c r="D15" s="14">
        <v>0.1</v>
      </c>
      <c r="E15" s="14">
        <v>0.2</v>
      </c>
      <c r="F15" s="14">
        <v>0.3</v>
      </c>
      <c r="G15" s="14">
        <v>0.4</v>
      </c>
      <c r="H15" s="7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31" s="3" customFormat="1" ht="15" customHeight="1" x14ac:dyDescent="0.2">
      <c r="A16" s="13" t="s">
        <v>15</v>
      </c>
      <c r="B16" s="11"/>
      <c r="C16" s="14">
        <v>0.05</v>
      </c>
      <c r="D16" s="14">
        <v>0.1</v>
      </c>
      <c r="E16" s="14">
        <v>0.2</v>
      </c>
      <c r="F16" s="14">
        <v>0.3</v>
      </c>
      <c r="G16" s="14">
        <v>0.4</v>
      </c>
      <c r="H16" s="7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s="3" customFormat="1" ht="15" customHeight="1" x14ac:dyDescent="0.2">
      <c r="A17" s="11" t="s">
        <v>185</v>
      </c>
      <c r="B17" s="16"/>
      <c r="C17" s="10">
        <f>C14*C8</f>
        <v>133920</v>
      </c>
      <c r="D17" s="10">
        <f>D14*D8</f>
        <v>211575</v>
      </c>
      <c r="E17" s="10">
        <f>E14*E8</f>
        <v>325500</v>
      </c>
      <c r="F17" s="10">
        <f>F14*F8</f>
        <v>418500</v>
      </c>
      <c r="G17" s="10">
        <f>G14*G8</f>
        <v>520800</v>
      </c>
      <c r="H17" s="7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s="3" customFormat="1" ht="15" customHeight="1" x14ac:dyDescent="0.2">
      <c r="A18" s="11" t="s">
        <v>186</v>
      </c>
      <c r="B18" s="16"/>
      <c r="C18" s="10">
        <f t="shared" ref="C18:G19" si="4">C15*C4</f>
        <v>16250</v>
      </c>
      <c r="D18" s="10">
        <f t="shared" si="4"/>
        <v>40000</v>
      </c>
      <c r="E18" s="10">
        <f t="shared" si="4"/>
        <v>100000</v>
      </c>
      <c r="F18" s="10">
        <f t="shared" si="4"/>
        <v>210000</v>
      </c>
      <c r="G18" s="10">
        <f t="shared" si="4"/>
        <v>300000</v>
      </c>
      <c r="H18" s="7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s="3" customFormat="1" ht="15" customHeight="1" x14ac:dyDescent="0.2">
      <c r="A19" s="11" t="s">
        <v>187</v>
      </c>
      <c r="B19" s="16"/>
      <c r="C19" s="10">
        <f t="shared" si="4"/>
        <v>42</v>
      </c>
      <c r="D19" s="10">
        <f t="shared" si="4"/>
        <v>480</v>
      </c>
      <c r="E19" s="10">
        <f t="shared" si="4"/>
        <v>2760</v>
      </c>
      <c r="F19" s="10">
        <f t="shared" si="4"/>
        <v>7200</v>
      </c>
      <c r="G19" s="10">
        <f t="shared" si="4"/>
        <v>12000</v>
      </c>
      <c r="H19" s="7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s="3" customFormat="1" ht="15" customHeight="1" x14ac:dyDescent="0.2">
      <c r="A20" s="11" t="s">
        <v>189</v>
      </c>
      <c r="B20" s="16"/>
      <c r="C20" s="10">
        <f>SUM(C17:C19)</f>
        <v>150212</v>
      </c>
      <c r="D20" s="10">
        <f t="shared" ref="D20:G20" si="5">SUM(D17:D19)</f>
        <v>252055</v>
      </c>
      <c r="E20" s="10">
        <f t="shared" si="5"/>
        <v>428260</v>
      </c>
      <c r="F20" s="10">
        <f t="shared" si="5"/>
        <v>635700</v>
      </c>
      <c r="G20" s="10">
        <f t="shared" si="5"/>
        <v>832800</v>
      </c>
      <c r="H20" s="7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s="3" customFormat="1" ht="15" customHeight="1" x14ac:dyDescent="0.2">
      <c r="A21" s="11" t="s">
        <v>17</v>
      </c>
      <c r="B21" s="89">
        <f>0.93*B10</f>
        <v>317130</v>
      </c>
      <c r="C21" s="97">
        <f>B21+C17+C18+C19</f>
        <v>467342</v>
      </c>
      <c r="D21" s="97">
        <f t="shared" ref="D21:G21" si="6">C21+D17+D18+D19</f>
        <v>719397</v>
      </c>
      <c r="E21" s="97">
        <f t="shared" si="6"/>
        <v>1147657</v>
      </c>
      <c r="F21" s="97">
        <f t="shared" si="6"/>
        <v>1783357</v>
      </c>
      <c r="G21" s="97">
        <f t="shared" si="6"/>
        <v>2616157</v>
      </c>
      <c r="H21" s="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s="3" customFormat="1" ht="15" customHeight="1" x14ac:dyDescent="0.2">
      <c r="A22" s="23" t="s">
        <v>18</v>
      </c>
      <c r="B22" s="20"/>
      <c r="C22" s="6"/>
      <c r="D22" s="6"/>
      <c r="E22" s="6"/>
      <c r="F22" s="6"/>
      <c r="G22" s="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s="3" customFormat="1" ht="15" customHeight="1" x14ac:dyDescent="0.2">
      <c r="A23" s="23" t="s">
        <v>177</v>
      </c>
      <c r="B23" s="99" t="s">
        <v>178</v>
      </c>
      <c r="C23" s="98"/>
      <c r="D23" s="98"/>
      <c r="E23" s="98"/>
      <c r="F23" s="98"/>
      <c r="G23" s="98"/>
    </row>
    <row r="24" spans="1:25" s="3" customFormat="1" ht="15" customHeight="1" x14ac:dyDescent="0.2">
      <c r="A24" s="24" t="s">
        <v>174</v>
      </c>
      <c r="B24" s="102" t="s">
        <v>175</v>
      </c>
      <c r="C24" s="69">
        <f>C25*$B$23</f>
        <v>2718.45</v>
      </c>
      <c r="D24" s="69">
        <f t="shared" ref="D24:G24" si="7">D25*$B$23</f>
        <v>3624.6000000000004</v>
      </c>
      <c r="E24" s="69">
        <f t="shared" si="7"/>
        <v>4530.75</v>
      </c>
      <c r="F24" s="69">
        <f t="shared" si="7"/>
        <v>5436.9</v>
      </c>
      <c r="G24" s="69">
        <f t="shared" si="7"/>
        <v>6343.0499999999993</v>
      </c>
    </row>
    <row r="25" spans="1:25" s="3" customFormat="1" ht="15" customHeight="1" x14ac:dyDescent="0.2">
      <c r="A25" s="24" t="s">
        <v>176</v>
      </c>
      <c r="B25" s="100">
        <f>B24/$B$23</f>
        <v>0.10914307785686697</v>
      </c>
      <c r="C25" s="101">
        <v>0.15</v>
      </c>
      <c r="D25" s="101">
        <v>0.2</v>
      </c>
      <c r="E25" s="101">
        <v>0.25</v>
      </c>
      <c r="F25" s="101">
        <v>0.3</v>
      </c>
      <c r="G25" s="101">
        <v>0.35</v>
      </c>
    </row>
    <row r="26" spans="1:25" s="3" customFormat="1" ht="15" customHeight="1" x14ac:dyDescent="0.2">
      <c r="A26" s="13" t="s">
        <v>159</v>
      </c>
      <c r="B26" s="10">
        <v>9545</v>
      </c>
      <c r="C26" s="10">
        <f>C30*C21</f>
        <v>28040.52</v>
      </c>
      <c r="D26" s="10">
        <f>D30*D21</f>
        <v>57551.76</v>
      </c>
      <c r="E26" s="10">
        <f>E30*E21</f>
        <v>126242.27</v>
      </c>
      <c r="F26" s="10">
        <f>F30*F21</f>
        <v>249669.98</v>
      </c>
      <c r="G26" s="10">
        <f>G30*G21</f>
        <v>470908.26</v>
      </c>
    </row>
    <row r="27" spans="1:25" s="3" customFormat="1" ht="15" customHeight="1" x14ac:dyDescent="0.2">
      <c r="A27" s="13" t="s">
        <v>167</v>
      </c>
      <c r="B27" s="10">
        <v>318</v>
      </c>
      <c r="C27" s="10">
        <f>C21*C31</f>
        <v>2804.0520000000001</v>
      </c>
      <c r="D27" s="10">
        <f>D21*D31</f>
        <v>10790.955</v>
      </c>
      <c r="E27" s="10">
        <f>E21*E31</f>
        <v>28691.425000000003</v>
      </c>
      <c r="F27" s="10">
        <f>F21*F31</f>
        <v>62417.495000000003</v>
      </c>
      <c r="G27" s="10">
        <f>G21*G31</f>
        <v>130807.85</v>
      </c>
    </row>
    <row r="28" spans="1:25" s="3" customFormat="1" ht="15" customHeight="1" x14ac:dyDescent="0.2">
      <c r="A28" s="13" t="s">
        <v>158</v>
      </c>
      <c r="B28" s="10">
        <v>3320</v>
      </c>
      <c r="C28" s="10">
        <f>C32*C21</f>
        <v>6542.7880000000005</v>
      </c>
      <c r="D28" s="10">
        <f>D32*D21</f>
        <v>17984.924999999999</v>
      </c>
      <c r="E28" s="10">
        <f>E32*E21</f>
        <v>40167.995000000003</v>
      </c>
      <c r="F28" s="10">
        <f>F32*F21</f>
        <v>80251.065000000002</v>
      </c>
      <c r="G28" s="10">
        <f>G32*G21</f>
        <v>183130.99000000002</v>
      </c>
    </row>
    <row r="29" spans="1:25" s="3" customFormat="1" ht="15" customHeight="1" x14ac:dyDescent="0.2">
      <c r="A29" s="13" t="s">
        <v>173</v>
      </c>
      <c r="B29" s="10">
        <f>SUM(B26:B28)</f>
        <v>13183</v>
      </c>
      <c r="C29" s="10">
        <f t="shared" ref="C29:G29" si="8">SUM(C26:C28)</f>
        <v>37387.360000000001</v>
      </c>
      <c r="D29" s="10">
        <f t="shared" si="8"/>
        <v>86327.64</v>
      </c>
      <c r="E29" s="10">
        <f t="shared" si="8"/>
        <v>195101.69</v>
      </c>
      <c r="F29" s="10">
        <f t="shared" si="8"/>
        <v>392338.54000000004</v>
      </c>
      <c r="G29" s="10">
        <f t="shared" si="8"/>
        <v>784847.1</v>
      </c>
      <c r="H29" s="103"/>
    </row>
    <row r="30" spans="1:25" s="3" customFormat="1" ht="15" customHeight="1" x14ac:dyDescent="0.2">
      <c r="A30" s="13" t="s">
        <v>156</v>
      </c>
      <c r="B30" s="95">
        <f>(B26+B27+B28)/B10</f>
        <v>3.8659824046920824E-2</v>
      </c>
      <c r="C30" s="14">
        <v>0.06</v>
      </c>
      <c r="D30" s="14">
        <v>0.08</v>
      </c>
      <c r="E30" s="14">
        <v>0.11</v>
      </c>
      <c r="F30" s="14">
        <v>0.14000000000000001</v>
      </c>
      <c r="G30" s="14">
        <v>0.18</v>
      </c>
    </row>
    <row r="31" spans="1:25" s="3" customFormat="1" ht="15" customHeight="1" x14ac:dyDescent="0.2">
      <c r="A31" s="13" t="s">
        <v>171</v>
      </c>
      <c r="B31" s="95">
        <f>B27/B10</f>
        <v>9.325513196480938E-4</v>
      </c>
      <c r="C31" s="95">
        <v>6.0000000000000001E-3</v>
      </c>
      <c r="D31" s="95">
        <v>1.4999999999999999E-2</v>
      </c>
      <c r="E31" s="95">
        <v>2.5000000000000001E-2</v>
      </c>
      <c r="F31" s="95">
        <v>3.5000000000000003E-2</v>
      </c>
      <c r="G31" s="95">
        <v>0.05</v>
      </c>
    </row>
    <row r="32" spans="1:25" s="3" customFormat="1" ht="15" customHeight="1" x14ac:dyDescent="0.2">
      <c r="A32" s="13" t="s">
        <v>172</v>
      </c>
      <c r="B32" s="95">
        <f>B28/B10</f>
        <v>9.7360703812316724E-3</v>
      </c>
      <c r="C32" s="95">
        <v>1.4E-2</v>
      </c>
      <c r="D32" s="95">
        <v>2.5000000000000001E-2</v>
      </c>
      <c r="E32" s="95">
        <v>3.5000000000000003E-2</v>
      </c>
      <c r="F32" s="95">
        <v>4.4999999999999998E-2</v>
      </c>
      <c r="G32" s="95">
        <v>7.0000000000000007E-2</v>
      </c>
    </row>
    <row r="33" spans="1:30" ht="20" customHeight="1" x14ac:dyDescent="0.2">
      <c r="A33" s="106" t="s">
        <v>25</v>
      </c>
      <c r="B33" s="107"/>
      <c r="C33" s="107"/>
      <c r="D33" s="107"/>
      <c r="E33" s="107"/>
      <c r="F33" s="107"/>
      <c r="G33" s="10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" customHeight="1" x14ac:dyDescent="0.2">
      <c r="A34" s="23" t="s">
        <v>26</v>
      </c>
      <c r="B34" s="25"/>
      <c r="C34" s="12"/>
      <c r="D34" s="12"/>
      <c r="E34" s="12"/>
      <c r="F34" s="12"/>
      <c r="G34" s="1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" customHeight="1" x14ac:dyDescent="0.2">
      <c r="A35" s="24" t="s">
        <v>28</v>
      </c>
      <c r="B35" s="25"/>
      <c r="C35" s="29">
        <v>60</v>
      </c>
      <c r="D35" s="29">
        <v>60</v>
      </c>
      <c r="E35" s="29">
        <v>60</v>
      </c>
      <c r="F35" s="29">
        <v>60</v>
      </c>
      <c r="G35" s="29">
        <v>60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" customHeight="1" x14ac:dyDescent="0.2">
      <c r="A36" s="24" t="s">
        <v>29</v>
      </c>
      <c r="B36" s="25"/>
      <c r="C36" s="29">
        <v>400</v>
      </c>
      <c r="D36" s="29">
        <v>400</v>
      </c>
      <c r="E36" s="29">
        <v>400</v>
      </c>
      <c r="F36" s="29">
        <v>400</v>
      </c>
      <c r="G36" s="29">
        <v>400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" customHeight="1" x14ac:dyDescent="0.2">
      <c r="A37" s="13" t="s">
        <v>170</v>
      </c>
      <c r="B37" s="25"/>
      <c r="C37" s="96">
        <f>C35*C6</f>
        <v>14400000</v>
      </c>
      <c r="D37" s="26">
        <f>D35*D6</f>
        <v>21000000</v>
      </c>
      <c r="E37" s="26">
        <f>E35*E6</f>
        <v>30000000</v>
      </c>
      <c r="F37" s="26">
        <f>F35*F6</f>
        <v>36000000</v>
      </c>
      <c r="G37" s="26">
        <f>G35*G6</f>
        <v>42000000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" customHeight="1" x14ac:dyDescent="0.2">
      <c r="A38" s="13" t="s">
        <v>168</v>
      </c>
      <c r="B38" s="25"/>
      <c r="C38" s="26">
        <f t="shared" ref="C38:G39" si="9">C35*C27</f>
        <v>168243.12</v>
      </c>
      <c r="D38" s="26">
        <f t="shared" si="9"/>
        <v>647457.30000000005</v>
      </c>
      <c r="E38" s="26">
        <f t="shared" si="9"/>
        <v>1721485.5000000002</v>
      </c>
      <c r="F38" s="26">
        <f t="shared" si="9"/>
        <v>3745049.7</v>
      </c>
      <c r="G38" s="26">
        <f t="shared" si="9"/>
        <v>7848471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" customHeight="1" x14ac:dyDescent="0.2">
      <c r="A39" s="13" t="s">
        <v>169</v>
      </c>
      <c r="B39" s="25"/>
      <c r="C39" s="96">
        <f t="shared" si="9"/>
        <v>2617115.2000000002</v>
      </c>
      <c r="D39" s="26">
        <f t="shared" si="9"/>
        <v>7193970</v>
      </c>
      <c r="E39" s="26">
        <f t="shared" si="9"/>
        <v>16067198.000000002</v>
      </c>
      <c r="F39" s="26">
        <f t="shared" si="9"/>
        <v>32100426</v>
      </c>
      <c r="G39" s="26">
        <f t="shared" si="9"/>
        <v>73252396.000000015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" customHeight="1" x14ac:dyDescent="0.2">
      <c r="A40" s="27" t="s">
        <v>34</v>
      </c>
      <c r="B40" s="25"/>
      <c r="C40" s="26">
        <f>SUM(C37:C39)</f>
        <v>17185358.32</v>
      </c>
      <c r="D40" s="26">
        <f>SUM(D37:D39)</f>
        <v>28841427.300000001</v>
      </c>
      <c r="E40" s="26">
        <f>SUM(E37:E39)</f>
        <v>47788683.5</v>
      </c>
      <c r="F40" s="26">
        <f>SUM(F37:F39)</f>
        <v>71845475.700000003</v>
      </c>
      <c r="G40" s="26">
        <f>SUM(G37:G39)</f>
        <v>123100867.00000001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" customHeight="1" x14ac:dyDescent="0.2">
      <c r="A41" s="67" t="s">
        <v>101</v>
      </c>
      <c r="B41" s="25"/>
      <c r="C41" s="26"/>
      <c r="D41" s="26"/>
      <c r="E41" s="26"/>
      <c r="F41" s="26"/>
      <c r="G41" s="2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" customHeight="1" x14ac:dyDescent="0.2">
      <c r="A42" s="24" t="s">
        <v>102</v>
      </c>
      <c r="B42" s="25"/>
      <c r="C42" s="29">
        <v>30</v>
      </c>
      <c r="D42" s="29">
        <v>30</v>
      </c>
      <c r="E42" s="29">
        <v>30</v>
      </c>
      <c r="F42" s="29">
        <v>30</v>
      </c>
      <c r="G42" s="29">
        <v>30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" customHeight="1" x14ac:dyDescent="0.2">
      <c r="A43" s="24" t="s">
        <v>104</v>
      </c>
      <c r="B43" s="25"/>
      <c r="C43" s="68">
        <v>50</v>
      </c>
      <c r="D43" s="68">
        <v>50</v>
      </c>
      <c r="E43" s="68">
        <v>50</v>
      </c>
      <c r="F43" s="68">
        <v>50</v>
      </c>
      <c r="G43" s="68">
        <v>50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" customHeight="1" x14ac:dyDescent="0.2">
      <c r="A44" s="24" t="s">
        <v>103</v>
      </c>
      <c r="B44" s="25"/>
      <c r="C44" s="69">
        <v>20</v>
      </c>
      <c r="D44" s="69">
        <f>C44*4</f>
        <v>80</v>
      </c>
      <c r="E44" s="69">
        <f t="shared" ref="E44:G44" si="10">D44*4</f>
        <v>320</v>
      </c>
      <c r="F44" s="69">
        <f t="shared" si="10"/>
        <v>1280</v>
      </c>
      <c r="G44" s="69">
        <f t="shared" si="10"/>
        <v>5120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" customHeight="1" x14ac:dyDescent="0.2">
      <c r="A45" s="24" t="s">
        <v>34</v>
      </c>
      <c r="B45" s="25"/>
      <c r="C45" s="26">
        <f>C44*C43*C42</f>
        <v>30000</v>
      </c>
      <c r="D45" s="26">
        <f t="shared" ref="D45:G45" si="11">D44*D43*D42</f>
        <v>120000</v>
      </c>
      <c r="E45" s="26">
        <f t="shared" si="11"/>
        <v>480000</v>
      </c>
      <c r="F45" s="26">
        <f t="shared" si="11"/>
        <v>1920000</v>
      </c>
      <c r="G45" s="26">
        <f t="shared" si="11"/>
        <v>7680000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" customHeight="1" x14ac:dyDescent="0.2">
      <c r="A46" s="27"/>
      <c r="B46" s="25"/>
      <c r="C46" s="26"/>
      <c r="D46" s="26"/>
      <c r="E46" s="26"/>
      <c r="F46" s="26"/>
      <c r="G46" s="2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" customHeight="1" x14ac:dyDescent="0.2">
      <c r="A47" s="32" t="s">
        <v>100</v>
      </c>
      <c r="B47" s="30"/>
      <c r="C47" s="31"/>
      <c r="D47" s="31"/>
      <c r="E47" s="31"/>
      <c r="F47" s="31"/>
      <c r="G47" s="3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" customHeight="1" x14ac:dyDescent="0.2">
      <c r="A48" s="27" t="s">
        <v>89</v>
      </c>
      <c r="B48" s="30"/>
      <c r="C48" s="56"/>
      <c r="D48" s="56"/>
      <c r="E48" s="57">
        <v>0.01</v>
      </c>
      <c r="F48" s="57">
        <v>0.05</v>
      </c>
      <c r="G48" s="57">
        <v>0.1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" customHeight="1" x14ac:dyDescent="0.2">
      <c r="A49" s="27" t="s">
        <v>88</v>
      </c>
      <c r="B49" s="30"/>
      <c r="C49" s="31"/>
      <c r="D49" s="31"/>
      <c r="E49" s="54">
        <f>E48*E21</f>
        <v>11476.57</v>
      </c>
      <c r="F49" s="54">
        <f>F48*F21</f>
        <v>89167.85</v>
      </c>
      <c r="G49" s="54">
        <f>G48*G21</f>
        <v>261615.7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" customHeight="1" x14ac:dyDescent="0.2">
      <c r="A50" s="27" t="s">
        <v>90</v>
      </c>
      <c r="B50" s="30"/>
      <c r="C50" s="31"/>
      <c r="D50" s="31"/>
      <c r="E50" s="55">
        <f>E49*Assumptions!$C$16</f>
        <v>774668.47499999998</v>
      </c>
      <c r="F50" s="55">
        <f>F49*Assumptions!$C$16</f>
        <v>6018829.875</v>
      </c>
      <c r="G50" s="55">
        <f>G49*Assumptions!$C$16</f>
        <v>17659059.75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" customHeight="1" x14ac:dyDescent="0.2">
      <c r="A51" s="27" t="s">
        <v>91</v>
      </c>
      <c r="B51" s="30"/>
      <c r="C51" s="31"/>
      <c r="D51" s="31"/>
      <c r="E51" s="55"/>
      <c r="F51" s="55">
        <f>F49*Assumptions!$C$26</f>
        <v>5350071</v>
      </c>
      <c r="G51" s="55">
        <f>G49*Assumptions!$C$26</f>
        <v>15696942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" customHeight="1" x14ac:dyDescent="0.2">
      <c r="A52" s="27" t="s">
        <v>92</v>
      </c>
      <c r="B52" s="30"/>
      <c r="C52" s="31"/>
      <c r="D52" s="31"/>
      <c r="E52" s="55"/>
      <c r="F52" s="55"/>
      <c r="G52" s="55">
        <f>G49*Assumptions!C45</f>
        <v>176852213.20000002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" customHeight="1" x14ac:dyDescent="0.2">
      <c r="A53" s="27" t="s">
        <v>34</v>
      </c>
      <c r="B53" s="30"/>
      <c r="C53" s="31">
        <f>SUM(C50:C52)</f>
        <v>0</v>
      </c>
      <c r="D53" s="55">
        <f t="shared" ref="D53:F53" si="12">SUM(D50:D52)</f>
        <v>0</v>
      </c>
      <c r="E53" s="55">
        <f t="shared" si="12"/>
        <v>774668.47499999998</v>
      </c>
      <c r="F53" s="55">
        <f t="shared" si="12"/>
        <v>11368900.875</v>
      </c>
      <c r="G53" s="55">
        <f>SUM(G50:G52)</f>
        <v>210208214.95000002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" customHeight="1" x14ac:dyDescent="0.2">
      <c r="A54" s="35" t="s">
        <v>35</v>
      </c>
      <c r="B54" s="36"/>
      <c r="C54" s="37">
        <f>C40+C53+C45</f>
        <v>17215358.32</v>
      </c>
      <c r="D54" s="37">
        <f t="shared" ref="D54:G54" si="13">D40+D53+D45</f>
        <v>28961427.300000001</v>
      </c>
      <c r="E54" s="37">
        <f t="shared" si="13"/>
        <v>49043351.975000001</v>
      </c>
      <c r="F54" s="37">
        <f t="shared" si="13"/>
        <v>85134376.575000003</v>
      </c>
      <c r="G54" s="37">
        <f t="shared" si="13"/>
        <v>340989081.95000005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" customHeight="1" x14ac:dyDescent="0.2">
      <c r="A55" s="4"/>
      <c r="B55" s="28"/>
      <c r="C55" s="4"/>
      <c r="D55" s="4"/>
      <c r="E55" s="4"/>
      <c r="F55" s="4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" customHeight="1" x14ac:dyDescent="0.2">
      <c r="A56" s="4"/>
      <c r="B56" s="28"/>
      <c r="C56" s="4"/>
      <c r="D56" s="4"/>
      <c r="E56" s="4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" customHeight="1" x14ac:dyDescent="0.2">
      <c r="A57" s="4"/>
      <c r="B57" s="28"/>
      <c r="C57" s="4"/>
      <c r="D57" s="4"/>
      <c r="E57" s="4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" customHeight="1" x14ac:dyDescent="0.2">
      <c r="A58" s="4"/>
      <c r="B58" s="28"/>
      <c r="C58" s="4"/>
      <c r="D58" s="4"/>
      <c r="E58" s="4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" customHeight="1" x14ac:dyDescent="0.2">
      <c r="A59" s="4"/>
      <c r="B59" s="28"/>
      <c r="C59" s="4"/>
      <c r="D59" s="4"/>
      <c r="E59" s="4"/>
      <c r="F59" s="4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" customHeight="1" x14ac:dyDescent="0.2">
      <c r="A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</sheetData>
  <mergeCells count="2">
    <mergeCell ref="A2:G2"/>
    <mergeCell ref="A33:G33"/>
  </mergeCells>
  <pageMargins left="0.75" right="0.75" top="1" bottom="1" header="0" footer="0"/>
  <pageSetup orientation="portrait"/>
  <headerFooter>
    <oddFooter>&amp;C&amp;"Arial,Regular"&amp;12&amp;K000000000000&amp;P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A5BDA-0992-8341-95C7-6C9F5369F671}">
  <dimension ref="B2:R12"/>
  <sheetViews>
    <sheetView showGridLines="0" workbookViewId="0">
      <selection activeCell="E12" sqref="E12"/>
    </sheetView>
  </sheetViews>
  <sheetFormatPr baseColWidth="10" defaultRowHeight="16" x14ac:dyDescent="0.2"/>
  <cols>
    <col min="1" max="1" width="3.42578125" customWidth="1"/>
    <col min="3" max="3" width="12.42578125" style="42" customWidth="1"/>
    <col min="4" max="4" width="18.28515625" style="42" customWidth="1"/>
    <col min="5" max="5" width="10.7109375" style="42"/>
    <col min="7" max="7" width="10.7109375" style="42"/>
    <col min="8" max="8" width="7.85546875" customWidth="1"/>
    <col min="9" max="12" width="10" customWidth="1"/>
    <col min="16" max="16" width="10.42578125" bestFit="1" customWidth="1"/>
  </cols>
  <sheetData>
    <row r="2" spans="2:18" x14ac:dyDescent="0.2">
      <c r="B2" s="120"/>
      <c r="C2" s="121"/>
      <c r="D2" s="121"/>
      <c r="E2" s="121"/>
      <c r="F2" s="121"/>
      <c r="G2" s="122"/>
      <c r="H2" s="118" t="s">
        <v>150</v>
      </c>
      <c r="I2" s="118"/>
      <c r="J2" s="118" t="s">
        <v>154</v>
      </c>
      <c r="K2" s="118"/>
      <c r="L2" s="118"/>
      <c r="M2" s="118" t="s">
        <v>143</v>
      </c>
      <c r="N2" s="118"/>
      <c r="O2" s="118"/>
      <c r="P2" s="118" t="s">
        <v>149</v>
      </c>
      <c r="Q2" s="119"/>
      <c r="R2" s="119"/>
    </row>
    <row r="3" spans="2:18" s="73" customFormat="1" ht="34" x14ac:dyDescent="0.2">
      <c r="B3" s="74" t="s">
        <v>120</v>
      </c>
      <c r="C3" s="75" t="s">
        <v>121</v>
      </c>
      <c r="D3" s="75" t="s">
        <v>122</v>
      </c>
      <c r="E3" s="75" t="s">
        <v>151</v>
      </c>
      <c r="F3" s="74" t="s">
        <v>123</v>
      </c>
      <c r="G3" s="75" t="s">
        <v>124</v>
      </c>
      <c r="H3" s="76" t="s">
        <v>155</v>
      </c>
      <c r="I3" s="76" t="s">
        <v>153</v>
      </c>
      <c r="J3" s="76" t="s">
        <v>144</v>
      </c>
      <c r="K3" s="77" t="s">
        <v>145</v>
      </c>
      <c r="L3" s="76" t="s">
        <v>146</v>
      </c>
      <c r="M3" s="76" t="s">
        <v>144</v>
      </c>
      <c r="N3" s="77" t="s">
        <v>145</v>
      </c>
      <c r="O3" s="76" t="s">
        <v>146</v>
      </c>
      <c r="P3" s="76" t="s">
        <v>144</v>
      </c>
      <c r="Q3" s="77" t="s">
        <v>145</v>
      </c>
      <c r="R3" s="76" t="s">
        <v>146</v>
      </c>
    </row>
    <row r="4" spans="2:18" ht="51" x14ac:dyDescent="0.2">
      <c r="B4" s="78" t="s">
        <v>38</v>
      </c>
      <c r="C4" s="79" t="s">
        <v>125</v>
      </c>
      <c r="D4" s="79" t="s">
        <v>126</v>
      </c>
      <c r="E4" s="79" t="s">
        <v>127</v>
      </c>
      <c r="F4" s="78" t="s">
        <v>128</v>
      </c>
      <c r="G4" s="79" t="s">
        <v>148</v>
      </c>
      <c r="H4" s="80">
        <v>25</v>
      </c>
      <c r="I4" s="81"/>
      <c r="J4" s="64">
        <v>200</v>
      </c>
      <c r="K4" s="64">
        <v>500</v>
      </c>
      <c r="L4" s="64">
        <v>2000</v>
      </c>
      <c r="M4" s="80">
        <f>J4*$H4</f>
        <v>5000</v>
      </c>
      <c r="N4" s="80">
        <f t="shared" ref="N4:O6" si="0">K4*$H4</f>
        <v>12500</v>
      </c>
      <c r="O4" s="80">
        <f t="shared" si="0"/>
        <v>50000</v>
      </c>
      <c r="P4" s="81"/>
      <c r="Q4" s="81"/>
      <c r="R4" s="81"/>
    </row>
    <row r="5" spans="2:18" ht="34" x14ac:dyDescent="0.2">
      <c r="B5" s="78" t="s">
        <v>38</v>
      </c>
      <c r="C5" s="79" t="s">
        <v>129</v>
      </c>
      <c r="D5" s="79" t="s">
        <v>130</v>
      </c>
      <c r="E5" s="79" t="s">
        <v>127</v>
      </c>
      <c r="F5" s="78" t="s">
        <v>131</v>
      </c>
      <c r="G5" s="79" t="s">
        <v>147</v>
      </c>
      <c r="H5" s="80">
        <v>60</v>
      </c>
      <c r="I5" s="81"/>
      <c r="J5" s="64">
        <v>1000</v>
      </c>
      <c r="K5" s="64">
        <v>10000</v>
      </c>
      <c r="L5" s="64">
        <v>50000</v>
      </c>
      <c r="M5" s="80">
        <f t="shared" ref="M5:M6" si="1">J5*$H5</f>
        <v>60000</v>
      </c>
      <c r="N5" s="80">
        <f t="shared" si="0"/>
        <v>600000</v>
      </c>
      <c r="O5" s="80">
        <f t="shared" si="0"/>
        <v>3000000</v>
      </c>
      <c r="P5" s="81"/>
      <c r="Q5" s="81"/>
      <c r="R5" s="81"/>
    </row>
    <row r="6" spans="2:18" ht="51" x14ac:dyDescent="0.2">
      <c r="B6" s="78" t="s">
        <v>38</v>
      </c>
      <c r="C6" s="79" t="s">
        <v>132</v>
      </c>
      <c r="D6" s="79" t="s">
        <v>133</v>
      </c>
      <c r="E6" s="79" t="s">
        <v>127</v>
      </c>
      <c r="F6" s="78" t="s">
        <v>134</v>
      </c>
      <c r="G6" s="79" t="s">
        <v>147</v>
      </c>
      <c r="H6" s="80">
        <v>10</v>
      </c>
      <c r="I6" s="81"/>
      <c r="J6" s="64">
        <v>500</v>
      </c>
      <c r="K6" s="64">
        <v>2000</v>
      </c>
      <c r="L6" s="64">
        <v>6000</v>
      </c>
      <c r="M6" s="80">
        <f t="shared" si="1"/>
        <v>5000</v>
      </c>
      <c r="N6" s="80">
        <f t="shared" si="0"/>
        <v>20000</v>
      </c>
      <c r="O6" s="80">
        <f t="shared" si="0"/>
        <v>60000</v>
      </c>
      <c r="P6" s="81"/>
      <c r="Q6" s="81"/>
      <c r="R6" s="81"/>
    </row>
    <row r="7" spans="2:18" ht="85" x14ac:dyDescent="0.2">
      <c r="B7" s="78" t="s">
        <v>135</v>
      </c>
      <c r="C7" s="79" t="s">
        <v>136</v>
      </c>
      <c r="D7" s="79" t="s">
        <v>137</v>
      </c>
      <c r="E7" s="79" t="s">
        <v>152</v>
      </c>
      <c r="F7" s="78" t="s">
        <v>138</v>
      </c>
      <c r="G7" s="79" t="s">
        <v>139</v>
      </c>
      <c r="H7" s="80">
        <v>60</v>
      </c>
      <c r="I7" s="80">
        <v>10</v>
      </c>
      <c r="J7" s="64">
        <v>110000</v>
      </c>
      <c r="K7" s="64">
        <v>150000</v>
      </c>
      <c r="L7" s="64">
        <v>100000</v>
      </c>
      <c r="M7" s="80">
        <f t="shared" ref="M7:M8" si="2">J7*$H7</f>
        <v>6600000</v>
      </c>
      <c r="N7" s="80">
        <f t="shared" ref="N7:N8" si="3">K7*$H7</f>
        <v>9000000</v>
      </c>
      <c r="O7" s="80">
        <f t="shared" ref="O7:O8" si="4">L7*$H7</f>
        <v>6000000</v>
      </c>
      <c r="P7" s="82">
        <f t="shared" ref="P7:R8" si="5">($H7-$I7)*J7</f>
        <v>5500000</v>
      </c>
      <c r="Q7" s="82">
        <f t="shared" si="5"/>
        <v>7500000</v>
      </c>
      <c r="R7" s="82">
        <f t="shared" si="5"/>
        <v>5000000</v>
      </c>
    </row>
    <row r="8" spans="2:18" ht="51" x14ac:dyDescent="0.2">
      <c r="B8" s="78" t="s">
        <v>135</v>
      </c>
      <c r="C8" s="79" t="s">
        <v>140</v>
      </c>
      <c r="D8" s="79" t="s">
        <v>141</v>
      </c>
      <c r="E8" s="79" t="s">
        <v>152</v>
      </c>
      <c r="F8" s="78" t="s">
        <v>142</v>
      </c>
      <c r="G8" s="79" t="s">
        <v>139</v>
      </c>
      <c r="H8" s="80">
        <v>30</v>
      </c>
      <c r="I8" s="83">
        <v>10</v>
      </c>
      <c r="J8" s="64">
        <v>1000</v>
      </c>
      <c r="K8" s="64">
        <v>5000</v>
      </c>
      <c r="L8" s="64">
        <v>15000</v>
      </c>
      <c r="M8" s="80">
        <f t="shared" si="2"/>
        <v>30000</v>
      </c>
      <c r="N8" s="80">
        <f t="shared" si="3"/>
        <v>150000</v>
      </c>
      <c r="O8" s="80">
        <f t="shared" si="4"/>
        <v>450000</v>
      </c>
      <c r="P8" s="82">
        <f t="shared" si="5"/>
        <v>20000</v>
      </c>
      <c r="Q8" s="82">
        <f t="shared" si="5"/>
        <v>100000</v>
      </c>
      <c r="R8" s="82">
        <f t="shared" si="5"/>
        <v>300000</v>
      </c>
    </row>
    <row r="12" spans="2:18" x14ac:dyDescent="0.2">
      <c r="E12" s="72"/>
    </row>
  </sheetData>
  <mergeCells count="5">
    <mergeCell ref="M2:O2"/>
    <mergeCell ref="P2:R2"/>
    <mergeCell ref="H2:I2"/>
    <mergeCell ref="J2:L2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 - Do Not Use</vt:lpstr>
      <vt:lpstr>Definitions</vt:lpstr>
      <vt:lpstr>Assumptions</vt:lpstr>
      <vt:lpstr>Future Model Growth</vt:lpstr>
      <vt:lpstr>Current Model Growth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Ganesan, Vish</cp:lastModifiedBy>
  <cp:revision/>
  <dcterms:created xsi:type="dcterms:W3CDTF">2025-06-07T01:45:21Z</dcterms:created>
  <dcterms:modified xsi:type="dcterms:W3CDTF">2026-04-02T19:16:11Z</dcterms:modified>
  <cp:category/>
  <cp:contentStatus/>
</cp:coreProperties>
</file>